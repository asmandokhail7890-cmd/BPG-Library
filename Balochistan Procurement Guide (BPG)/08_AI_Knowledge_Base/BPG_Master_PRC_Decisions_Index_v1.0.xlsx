
<file path=[Content_Types].xml><?xml version="1.0" encoding="utf-8"?>
<Types xmlns="http://schemas.openxmlformats.org/package/2006/content-type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D:\Balochistan Procurement Guide\Balochistan Procurement Guide (BPG)\08_AI_Knowledge_Base\"/>
    </mc:Choice>
  </mc:AlternateContent>
  <bookViews>
    <workbookView xWindow="0" yWindow="0" windowWidth="23040" windowHeight="8688"/>
  </bookViews>
  <sheets>
    <sheet name="PRC_Master_Index" sheetId="1" r:id="rId1"/>
    <sheet name="Lists" sheetId="2" r:id="rId2"/>
    <sheet name="Instructions" sheetId="3" r:id="rId3"/>
    <sheet name="Statistics" sheetId="4" r:id="rId4"/>
  </sheets>
  <calcPr calcId="152511"/>
</workbook>
</file>

<file path=xl/calcChain.xml><?xml version="1.0" encoding="utf-8"?>
<calcChain xmlns="http://schemas.openxmlformats.org/spreadsheetml/2006/main">
  <c r="C33" i="4" l="1"/>
  <c r="C32" i="4"/>
  <c r="C31" i="4"/>
  <c r="C30" i="4"/>
  <c r="C29" i="4"/>
  <c r="C28" i="4"/>
  <c r="C23" i="4"/>
  <c r="C22" i="4"/>
  <c r="C21" i="4"/>
  <c r="C20" i="4"/>
  <c r="C19" i="4"/>
  <c r="C18" i="4"/>
  <c r="C17" i="4"/>
  <c r="C12" i="4"/>
  <c r="C11" i="4"/>
  <c r="C10" i="4"/>
  <c r="C9" i="4"/>
  <c r="C8" i="4"/>
  <c r="C7" i="4"/>
  <c r="C6" i="4"/>
  <c r="D33" i="4" s="1"/>
  <c r="D10" i="4" l="1"/>
  <c r="D18" i="4"/>
  <c r="D22" i="4"/>
  <c r="D30" i="4"/>
  <c r="D7" i="4"/>
  <c r="D11" i="4"/>
  <c r="D19" i="4"/>
  <c r="D23" i="4"/>
  <c r="D31" i="4"/>
  <c r="D8" i="4"/>
  <c r="D12" i="4"/>
  <c r="D20" i="4"/>
  <c r="D28" i="4"/>
  <c r="D32" i="4"/>
  <c r="D9" i="4"/>
  <c r="D17" i="4"/>
  <c r="D21" i="4"/>
  <c r="D29" i="4"/>
</calcChain>
</file>

<file path=xl/sharedStrings.xml><?xml version="1.0" encoding="utf-8"?>
<sst xmlns="http://schemas.openxmlformats.org/spreadsheetml/2006/main" count="2238" uniqueCount="1189">
  <si>
    <t>Record ID</t>
  </si>
  <si>
    <t>Appeal Number</t>
  </si>
  <si>
    <t>Appeal Year</t>
  </si>
  <si>
    <t>Appellant</t>
  </si>
  <si>
    <t>Respondent</t>
  </si>
  <si>
    <t>Procuring Agency</t>
  </si>
  <si>
    <t>Tender Title</t>
  </si>
  <si>
    <t>Tender Reference / NIT</t>
  </si>
  <si>
    <t>TSE Number</t>
  </si>
  <si>
    <t>District</t>
  </si>
  <si>
    <t>Department</t>
  </si>
  <si>
    <t>Decision Date</t>
  </si>
  <si>
    <t>Decision Type</t>
  </si>
  <si>
    <t>Outcome</t>
  </si>
  <si>
    <t>Chairman</t>
  </si>
  <si>
    <t>Member 1</t>
  </si>
  <si>
    <t>Member 2</t>
  </si>
  <si>
    <t>Relevant BPPRA Act Sections</t>
  </si>
  <si>
    <t>Relevant BPPRA Rules</t>
  </si>
  <si>
    <t>Relevant Regulations</t>
  </si>
  <si>
    <t>Relevant Circulars</t>
  </si>
  <si>
    <t>Legal Issues</t>
  </si>
  <si>
    <t>Final Decision Summary</t>
  </si>
  <si>
    <t>Keywords</t>
  </si>
  <si>
    <t>Related PRC Decisions</t>
  </si>
  <si>
    <t>Related Court Judgments</t>
  </si>
  <si>
    <t>PDF File Name</t>
  </si>
  <si>
    <t>Repository Folder</t>
  </si>
  <si>
    <t>Verification Status</t>
  </si>
  <si>
    <t>Duplicate Status</t>
  </si>
  <si>
    <t>Processing Status</t>
  </si>
  <si>
    <t>Notes</t>
  </si>
  <si>
    <t>Last Updated</t>
  </si>
  <si>
    <t>PRC-00001</t>
  </si>
  <si>
    <t>PRC Appeal No. 04/2024</t>
  </si>
  <si>
    <t>M/S Smallan Construction Company</t>
  </si>
  <si>
    <t>The Secretary, Local Government of Balochistan &amp; Others</t>
  </si>
  <si>
    <t>Local Government of Balochistan</t>
  </si>
  <si>
    <t>242503660323</t>
  </si>
  <si>
    <t>Local Government</t>
  </si>
  <si>
    <t>Appeal</t>
  </si>
  <si>
    <t>Withdrawn</t>
  </si>
  <si>
    <t>Muhammad Afzal</t>
  </si>
  <si>
    <t>Mubashir Ali Khan (FCIPS)</t>
  </si>
  <si>
    <t>Engr. Muhammad Ayub Nasir</t>
  </si>
  <si>
    <t>Rule 56-A, Balochistan Public Procurement Rules 2014</t>
  </si>
  <si>
    <t>Clause 16 of PRC Regulations; Order 23 Rule 1</t>
  </si>
  <si>
    <t>Appellant sought unconditional withdrawal of his procurement appeal under Order 23 Rule 1 read with clause 16 of the PRC Regulations.</t>
  </si>
  <si>
    <t>Appellant Mr. Najeebullah appeared in person; no respondents appeared. He filed an application to withdraw the case unconditionally, which the Committee accepted. The appeal was dismissed as withdrawn.</t>
  </si>
  <si>
    <t>withdrawal; unconditional; Local Government; Rule 56-A; PRC Regulations; dismissed as withdrawn; appeal</t>
  </si>
  <si>
    <t>81.pdf</t>
  </si>
  <si>
    <t>Google Drive: BPG PRC Decisions (folder 1Et7Lk2sCkZUHz-bDPibXKCXdKMAMm3DX)</t>
  </si>
  <si>
    <t>Unverified</t>
  </si>
  <si>
    <t>Unique</t>
  </si>
  <si>
    <t>Processed</t>
  </si>
  <si>
    <t>OCR title 81. Body date partly illegible; appeal No.04/2024 so year 2024; decision_date approx 2024-07-07.</t>
  </si>
  <si>
    <t>PRC-00002</t>
  </si>
  <si>
    <t>00/2025</t>
  </si>
  <si>
    <t>M/s ELK Niazi (Government Contractor)</t>
  </si>
  <si>
    <t>Secretary, Local Government of Balochistan &amp; Others</t>
  </si>
  <si>
    <t>Municipal Committee Sinjavi / Local Government &amp; Rural Development Department</t>
  </si>
  <si>
    <t>Sinjavi</t>
  </si>
  <si>
    <t>Habib Ur Rehman Jamot (Chairman PRC)</t>
  </si>
  <si>
    <t>Mubashir Ali Khan (FCIPS), Member</t>
  </si>
  <si>
    <t>Engr. Muhammad Ayub Nasir (Technical Member)</t>
  </si>
  <si>
    <t>Rule 56-A; Clause 16 of the Public Procurement Regulations</t>
  </si>
  <si>
    <t>Conditional withdrawal of the appeal with imposition of cost.</t>
  </si>
  <si>
    <t>The appeal was against a CRC decision dated approx. 2 July 2025. The appellant (in person) filed an application under Clause 16 of the Public Procurement Regulations for withdrawal. The Committee unanimously allowed the application conditionally with a cost of Rs. 25,000. The appeal was dismissed as withdrawn.</t>
  </si>
  <si>
    <t>withdrawal; conditional; cost Rs.25,000; Clause 16 regulations; Municipal Committee Sinjavi; LGRD</t>
  </si>
  <si>
    <t>79.pdf</t>
  </si>
  <si>
    <t>Appeal number OCR'd as 'No.00/2025' (likely OCR artifact). Department LGRD -&gt; Local Government. Members Junaid Shah; Private Member Syed Muhibullah. Order sheet 17-07-2025.</t>
  </si>
  <si>
    <t>PRC-00003</t>
  </si>
  <si>
    <t>01/2025</t>
  </si>
  <si>
    <t>M/s Ahmed Din &amp; Sons</t>
  </si>
  <si>
    <t>Chief Secretary, Government of Balochistan &amp; Others</t>
  </si>
  <si>
    <t>Executive Engineer (Road), CW PP&amp;H Department, District Kohlu</t>
  </si>
  <si>
    <t>Construction of Black Top Road from Main Kohlu Road to Killi Haji Mir Bahar Khan Marri</t>
  </si>
  <si>
    <t>242503656343</t>
  </si>
  <si>
    <t>Kohlu</t>
  </si>
  <si>
    <t>Communication &amp; Works</t>
  </si>
  <si>
    <t>Accepted</t>
  </si>
  <si>
    <t>Muhammad Afzal (Chairman)</t>
  </si>
  <si>
    <t>Rule 56-A and Rule 56(A)(1); Rule 56(3); Rule 38(1); Rule 54(2) of the BPP Rules, 2014</t>
  </si>
  <si>
    <t>Whether the procuring agency could issue a fresh tender notice for work already awarded to the appellant via work order, and whether the CRC erred in deciding on maintainability rather than merits.</t>
  </si>
  <si>
    <t>The appellant had been awarded the contract and issued work order No. E&amp;(CW,PP&amp;H)/K/131-134/CB dated 22-05-2025 and mobilised machinery/labour. The agency then re-advertised the same work (Advertisement AB No. 1214/04-06-25, TSE No. 242506743673). The Committee held that a work order creates financial liability and a vested right that cannot be withdrawn without notice under Rule 54(2); re-tendering already-awarded work violated the rules. The fresh advertisement/TSE 242506743673 was declared ultra-vires and set aside (appeal effectively allowed).</t>
  </si>
  <si>
    <t>work order; re-tendering; ultra vires; vested right; mis-procurement; Rule 38(1); Rule 56(3); CW PP&amp;H Kohlu; suspension of tender</t>
  </si>
  <si>
    <t>83.pdf</t>
  </si>
  <si>
    <t>Two TSE numbers: original award 242503656343 (also OCR'd 242503666343); impugned fresh TSE 242506743673. Interim suspension 16-06-2025; final hearing 18-06-2025; Project Director (Resp. No.3) repeatedly absent.</t>
  </si>
  <si>
    <t>PRC-00004</t>
  </si>
  <si>
    <t>PRC Appeal No. 02/2025</t>
  </si>
  <si>
    <t>M/S Abdul Malik &amp; Brothers</t>
  </si>
  <si>
    <t>Local Government &amp; Rural Development Department (LG&amp;RD)</t>
  </si>
  <si>
    <t>Solarization of existing and new tube wells in PB-44 Quetta-VII</t>
  </si>
  <si>
    <t>PRQ No. 4062/21-04-2025</t>
  </si>
  <si>
    <t>242504686513</t>
  </si>
  <si>
    <t>Quetta</t>
  </si>
  <si>
    <t>Engr. Junaid Shah</t>
  </si>
  <si>
    <t>Rule 56-A and Rule 56 of Balochistan Public Procurement Rules 2014</t>
  </si>
  <si>
    <t>Appellant challenged the technical evaluation marks (64/100) assigned by the Procurement Committee, alleging incorrect evaluation that deprived him of the contract award against the 75% threshold.</t>
  </si>
  <si>
    <t>M/S Abdul Malik &amp; Brothers, a Category-2 PEC contractor, participated in the single stage two-envelope tender for solarization of tube wells in PB-44 Quetta-VII. Contract was awarded to M/S Malik Abdul Ghaffar &amp; Brothers on 16 May 2025. Appellant alleged incorrect technical evaluation and delayed CRC adjudication; heard 30-06-2025, decided 02-07-2025. Final outcome not legible in available OCR.</t>
  </si>
  <si>
    <t>technical evaluation; solarization; tube wells; Quetta; Rule 56-A; least cost selection; PEC Category-2; CRC delay</t>
  </si>
  <si>
    <t>82.pdf</t>
  </si>
  <si>
    <t>OCR title 82. Only pages 1-2 of 7 OCR'd; outcome on later pages not captured, left blank. Private member Abdul Wahab Buledi. Outcome recovered from later pages on re-OCR (set aside; appeal accepted with directions).</t>
  </si>
  <si>
    <t>PRC-00005</t>
  </si>
  <si>
    <t>03/2025</t>
  </si>
  <si>
    <t>M/s Smallan Construction Company (through Najeebullah)</t>
  </si>
  <si>
    <t>Local Government Department, Government of Balochistan</t>
  </si>
  <si>
    <t>242503660543</t>
  </si>
  <si>
    <t>Rule 56-A; Order 23 Rule 1 read with Clause 16 of the PRC Regulations</t>
  </si>
  <si>
    <t>Unconditional withdrawal of the appeal by the appellant in person.</t>
  </si>
  <si>
    <t>The appellant (in person) filed an application under Order 23 Rule 1 read with Clause 16 of the PRC Regulations to withdraw the case unconditionally. None appeared for the official respondents or respondent No.4. The Committee accepted the application and allowed withdrawal; the appeal was dismissed as withdrawn.</t>
  </si>
  <si>
    <t>withdrawal; unconditional; Order 23 Rule 1; Clause 16 PRC Regulations; Local Government; in person</t>
  </si>
  <si>
    <t>74.pdf</t>
  </si>
  <si>
    <t>Department Local Government. Members Junaid Shah; Private Member Syed Mohibullah. Order sheet 03-07-2025.</t>
  </si>
  <si>
    <t>PRC-00006</t>
  </si>
  <si>
    <t>05/2025</t>
  </si>
  <si>
    <t>80.pdf</t>
  </si>
  <si>
    <t>Near-identical to appeal 03/2025 (same appellant, same order sheet date 03-07-2025); companion/parallel appeal. Members Junaid Shah; Private Member Syed Mohibullah.</t>
  </si>
  <si>
    <t>PRC-00007</t>
  </si>
  <si>
    <t>07/2025</t>
  </si>
  <si>
    <t>M/s Grow International Consulting (Pvt) Limited (through Mr. Aijaz Ahmed)</t>
  </si>
  <si>
    <t>Government of Balochistan, Secretary Labour &amp; Manpower Department &amp; Others</t>
  </si>
  <si>
    <t>B-TEVTA, Labour &amp; Manpower Department, Quetta</t>
  </si>
  <si>
    <t>Service Required for Chief Minister's Youth Skill Development Program for Overseas Employment Balochistan Phase-II</t>
  </si>
  <si>
    <t>242504688052</t>
  </si>
  <si>
    <t>Engr. Junaid Shah, Member</t>
  </si>
  <si>
    <t>Rule 56, Rule 56-A and Rule 35(1) of the BPP Rules, 2014</t>
  </si>
  <si>
    <t>Whether the appellant's technical bid was wrongly assigned lower marks because supporting HR documents and audit reports uploaded to the ePPS did not render on the procuring agency's dashboard due to a system fault.</t>
  </si>
  <si>
    <t>Estimated budget PKR 500,000,000; quality-cost selection (70/30), two-stage. Respondent No.4's report (29-07-2025) confirmed the appellant's documents were uploaded and saved in the backend but did not render on dashboards due to a technical issue with dynamic evaluation-criteria handling - neither party's fault. The appeal was allowed, the impugned CRC decision dated 07-07-2025 set aside, and B-PPRA directed to ensure document visibility and enable re-evaluation of the first stage under Rule 35(1).</t>
  </si>
  <si>
    <t>ePPS technical glitch; document rendering; technical evaluation; quality-cost selection; Rule 35(1); appeal allowed; B-TEVTA</t>
  </si>
  <si>
    <t>78.pdf</t>
  </si>
  <si>
    <t>Labour &amp; Manpower / B-TEVTA classified as Local Government (Other). Technical Member Engr. Muhammad Ayub Nasir; Private Member Abdul Wahab Bulledi. Hearing 30-07-2025; announced 01-08-2025.</t>
  </si>
  <si>
    <t>PRC-00008</t>
  </si>
  <si>
    <t>08/2025</t>
  </si>
  <si>
    <t>M/s Consultracts (Pvt) Limited (through Muhammad Waqar, Director)</t>
  </si>
  <si>
    <t>Managing Director, B-TEVTA, Quetta &amp; Others</t>
  </si>
  <si>
    <t>Whether the appellant's technical bid was wrongly assigned lower marks where HR documents and annual audit reports uploaded to the ePPS were not electronically retrievable.</t>
  </si>
  <si>
    <t>Estimated budget PKR 500,000,000; quality-cost (70/30), two-stage. CRC decided 30-06-2025 (communicated 21-07-2025). Respondent No.3's report (29-07-2025) showed the documents were pushed into the ePPS but not retrievable due to technical reasons, not attributable to either party. The appeal was allowed, the impugned decision dated 30-06-2025 set aside, and - retrieval being electronically impossible - the appellant directed to manually submit printed documents by 06-08-2025 and the agency to re-evaluate under Rule 35(1).</t>
  </si>
  <si>
    <t>ePPS retrieval failure; technical evaluation; quality-cost selection; Rule 35(1); appeal allowed; manual submission; B-TEVTA</t>
  </si>
  <si>
    <t>77.pdf</t>
  </si>
  <si>
    <t>Same tender/TSE as appeal 07/2025. Technical Member Engr. Muhammad Ayub Nasir; Private Member Abdul Wahab Bulledi. Hearing 30-07-2025; decided 01-08-2025.</t>
  </si>
  <si>
    <t>PRC-00009</t>
  </si>
  <si>
    <t>09/2025</t>
  </si>
  <si>
    <t>M/s Al-Watan Associates (Pvt) Ltd (through Zulfiqar Ali S/o Hafiz Ullah)</t>
  </si>
  <si>
    <t>Government of Balochistan, Secretary Local Government &amp; Rural Development Department &amp; Others</t>
  </si>
  <si>
    <t>Local Government &amp; Rural Development Department, Quetta</t>
  </si>
  <si>
    <t>Solarization of Existing and New Tube Wells in PB-44 Quetta V-I</t>
  </si>
  <si>
    <t>Challenge to assignment of lower marks (68% vs required 75%) at technical evaluation; maintainability where the same tender was already decided as mis-procurement in Appeal No. 02/2025.</t>
  </si>
  <si>
    <t>Estimated budget PKR 198,109,952; single-stage two-envelope, least-cost selection; responsiveness threshold 75% (appellant scored 68%). The Committee raised maintainability since the same tender was already declared mis-procurement in Appeal No. 02/2025 with re-issuance directed. Counsel requested withdrawal, which was allowed (appellant at liberty to avail other remedies); the appeal was disposed of as withdrawn.</t>
  </si>
  <si>
    <t>withdrawal; mis-procurement; technical evaluation; least-cost selection; single stage two envelope; solarization tube wells; LG&amp;RD Quetta</t>
  </si>
  <si>
    <t>PRC Appeal No. 02/2025 (same tender declared mis-procurement)</t>
  </si>
  <si>
    <t>76.pdf</t>
  </si>
  <si>
    <t>Department LGRD -&gt; Local Government. Technical Member Engr. Muhammad Ayoub Nasir; Private Member Abdul Wahab Bulledi. Hearing 30-07-2025.</t>
  </si>
  <si>
    <t>PRC-00010</t>
  </si>
  <si>
    <t>11/2025</t>
  </si>
  <si>
    <t>M/s Abdullah Jan and Company (through Nawaz Ibrahim)</t>
  </si>
  <si>
    <t>Secretary, Local Government &amp; Rural Development Department &amp; Others</t>
  </si>
  <si>
    <t>Local Government &amp; Rural Development Department (DG; Senior/Assistant Director)</t>
  </si>
  <si>
    <t>252607774423</t>
  </si>
  <si>
    <t>Abdul Hameed Buzdar, Member</t>
  </si>
  <si>
    <t>Rule 56-A; Section 16(1) of the Procurement Review Committee Regulations</t>
  </si>
  <si>
    <t>Withdrawal of appeal under Section 16(1) of the PRC Regulations; imposition of cost to discourage withdrawing appeals.</t>
  </si>
  <si>
    <t>The appellant's counsel filed an application under Section 16(1) of the PRC Regulations to withdraw the appeal. The forum allowed it but, to discourage the practice of withdrawing appeals, imposed a cost of Rs. 50,000 on the appellant. CRC minutes dated 15-08-2025 showed multiple bidders' grievances against the same procuring agency were allowed and the procurement declared null and void; the Committee noted eight appeals against the same agency reflecting consistent BPP Rules violations and directed the agency to follow the BPP Rules 2014. The appeal was dismissed as withdrawn with the Rs. 50,000 cost.</t>
  </si>
  <si>
    <t>withdrawal; cost Rs.50,000; mis-procurement; null and void; repeat violations; Section 16(1) PRC Regulations; LG&amp;RD</t>
  </si>
  <si>
    <t>73.pdf</t>
  </si>
  <si>
    <t>Department LGRD -&gt; Local Government. Technical Member Iftikhar Ahmed Mir; Private Member Syed Muheebullah. Hearing 12-09-2025.</t>
  </si>
  <si>
    <t>PRC-00011</t>
  </si>
  <si>
    <t>12/2025</t>
  </si>
  <si>
    <t>M/S Nizam Baloch &amp; Brothers</t>
  </si>
  <si>
    <t>Executive Engineer, Irrigation Department &amp; Others</t>
  </si>
  <si>
    <t>Irrigation Department, Mastung</t>
  </si>
  <si>
    <t>Construction of Delay Action Dam at Khak Mushk Dasht Baba Piringabad area District Mastung</t>
  </si>
  <si>
    <t>PRQ No. 417/04-08-2025</t>
  </si>
  <si>
    <t>252608801953</t>
  </si>
  <si>
    <t>Mastung</t>
  </si>
  <si>
    <t>Irrigation</t>
  </si>
  <si>
    <t>Dismissed</t>
  </si>
  <si>
    <t>Habib ur Rehman Jamot</t>
  </si>
  <si>
    <t>Rule 56-A; Rule 38(1); Rule 58(b)</t>
  </si>
  <si>
    <t>Whether an appeal can proceed against a tender that the Procuring Agency had cancelled under Rule 38(1), which is neither appealable nor reviewable under Rule 58(b).</t>
  </si>
  <si>
    <t>The appellant challenged his disqualification but the Procuring Agency had already cancelled the tender under Rule 38(1) and the cancellation was verified on the Authority website. As cancellation is not appealable or reviewable under Rule 58(b), the appeal became infructuous and was dismissed, with a direction to consider bids on merit if re-tendered.</t>
  </si>
  <si>
    <t>tender cancellation; Rule 38(1); infructuous; Irrigation; delay action dam; Mastung; dismissed</t>
  </si>
  <si>
    <t>72.pdf</t>
  </si>
  <si>
    <t>Decided by Chairman; full quorum not listed in OCR. Delay action dam Mastung.</t>
  </si>
  <si>
    <t>PRC-00012</t>
  </si>
  <si>
    <t>13/2025</t>
  </si>
  <si>
    <t>M/S H.K Niazi Government Contractor</t>
  </si>
  <si>
    <t>Secretary, Urban Planning &amp; Development Department &amp; Others</t>
  </si>
  <si>
    <t>Urban Planning &amp; Development Department</t>
  </si>
  <si>
    <t>252608808143</t>
  </si>
  <si>
    <t>Planning &amp; Development</t>
  </si>
  <si>
    <t>Junaid Shah</t>
  </si>
  <si>
    <t>Rule 56-A</t>
  </si>
  <si>
    <t>Whether the appeal can succeed where the appellant himself admitted he lacked the required eligibility level to qualify for the tender.</t>
  </si>
  <si>
    <t>During arguments the appellant admitted that he lacked the required level of eligibility to qualify for the tender under TSE 252608808143. In view of the admission of non-fulfillment of eligibility criteria, the appeal was dismissed.</t>
  </si>
  <si>
    <t>eligibility criteria; admission; dismissed; Urban Planning &amp; Development; non-qualification; Rule 56-A</t>
  </si>
  <si>
    <t>71.pdf</t>
  </si>
  <si>
    <t>Co-opted member Abdul Waris Khan; technical member Iftikhar Ahmed Mir. Department recorded as Urban Planning &amp; Development (mapped to Planning &amp; Development).</t>
  </si>
  <si>
    <t>PRC-00013</t>
  </si>
  <si>
    <t>14/2025</t>
  </si>
  <si>
    <t>Local Government &amp; Rural Development (LG&amp;RD) Department</t>
  </si>
  <si>
    <t>252608806073</t>
  </si>
  <si>
    <t>Habib Ur Rehman Jamot</t>
  </si>
  <si>
    <t>Rule 56-A; Rule 56(4); Rule 57 BPP Rules 2014</t>
  </si>
  <si>
    <t>Whether the Procuring Agency unlawfully refused to receive the Appellant's bid and falsified the bid-opening attendance record, and whether the late CRC decision had legal validity. The committee found grave procedural illegalities and a falsified attendance record.</t>
  </si>
  <si>
    <t>Appellant alleged his bid was not received nor attendance marked despite his presence; video evidence and contradictory attendance sheets (present on the signed sheet, absent on the BPPRA-uploaded sheet) confirmed falsification. The late CRC decision violated Rule 56(4). With Rs. 44.18 million at stake, the committee found systemic manipulation and willful negligence. Appeal allowed; TSE-252608806073 declared mis-procurement under Rule 57.</t>
  </si>
  <si>
    <t>non-receipt of bid; falsified attendance; video evidence; mis-procurement; Rule 57; Rule 56(4); LG&amp;RD; allowed</t>
  </si>
  <si>
    <t>70.pdf</t>
  </si>
  <si>
    <t>LG&amp;RD mapped to Local Government. Tech Member Engr. Iftikhar Ahmed Mir; Private Member Abdul Wahab Bulledi. Public funds Rs. 44.18 million. Hearing 06-10-2025, decided 08-10-2025.</t>
  </si>
  <si>
    <t>PRC-00014</t>
  </si>
  <si>
    <t>PRC Appeal No. 15/2025</t>
  </si>
  <si>
    <t>M/S Mir Ali Khail Construction Company</t>
  </si>
  <si>
    <t>Secretary, Government of Balochistan, Local Government &amp; Rural Development Department &amp; Others</t>
  </si>
  <si>
    <t>Municipal Committee, Zhob (Local Government &amp; Rural Development Department)</t>
  </si>
  <si>
    <t>252607790933</t>
  </si>
  <si>
    <t>Zhob</t>
  </si>
  <si>
    <t>Rule 56-A, Rule 56 of Balochistan Public Procurement (BPP) Rules 2014</t>
  </si>
  <si>
    <t>Section 16(1) and 16(2) of PRC Regulations</t>
  </si>
  <si>
    <t>BPPRA circular limiting bid opening to not more than 10 bids per day</t>
  </si>
  <si>
    <t>Whether the appellant's disqualification as 'absent' was lawful given contradictory manual and EPPS attendance records, and whether the Procuring Agency violated the circular by opening 47 tenders in one session.</t>
  </si>
  <si>
    <t>Appellant was marked 'absent' for the subject tender despite a manual sheet showing him present while EPPS showed absent. The Procuring Agency admitted opening 47 tenders simultaneously, violating the BPPRA circular limiting bid opening to 10 per day. The appellant sought withdrawal under Section 16(1); via Short Order dated 17-10-2025 the appeal was dismissed as withdrawn with costs of Rs. 30,000. The Committee condemned the violations and directed the Secretary LG&amp;RD to issue a circular and take disciplinary action.</t>
  </si>
  <si>
    <t>attendance; absent; EPPS; 47 tenders; circular violation; withdrawal; costs Rs 30000; Municipal Committee Zhob; Local Government</t>
  </si>
  <si>
    <t>69.pdf</t>
  </si>
  <si>
    <t>OCR title 69. Intended awardee Sheikh Umer Shah &amp; Brothers. Private member Abdul Hayee Baloch.</t>
  </si>
  <si>
    <t>PRC-00015</t>
  </si>
  <si>
    <t>PRC Appeal No. 16/2025</t>
  </si>
  <si>
    <t>M/s A.H.S. Brothers</t>
  </si>
  <si>
    <t>Government of Balochistan through Secretary, Public Health Engineering Department &amp; Others</t>
  </si>
  <si>
    <t>Public Health Engineering Department, Zhob Division</t>
  </si>
  <si>
    <t>Construction and Solarization of 15 Nos. Water Supply Schemes in Zhob District including Kibzai, Khost, Babar, Abdullah Zai, Lwara, and Wala Akram</t>
  </si>
  <si>
    <t>252608809923</t>
  </si>
  <si>
    <t>Public Health Engineering</t>
  </si>
  <si>
    <t>Article 10-A of the Constitution</t>
  </si>
  <si>
    <t>Rule 56-A, Rule 56, Rule 15(2) of Balochistan Public Procurement Rules 2014</t>
  </si>
  <si>
    <t>Clauses 40 and 42 of evaluation criteria</t>
  </si>
  <si>
    <t>Whether non-advertisement in print media (Rule 15) and the lowest bidder's failure to submit rate analysis and Bank Guarantee/CDR constituted mis-procurement, and the consequences of the appellant withdrawing after the merits favored him.</t>
  </si>
  <si>
    <t>Appellant challenged the evaluation report alleging the tender was not advertised in print media and the successful bidder M/s Nawabzada Zulqarnain Jogezai &amp; Sons failed to submit rate analysis and Bank Guarantee/CDR. The Committee observed procedural irregularities but the appellant moved to withdraw despite apparent merit. The withdrawal was allowed and the appeal disposed of as withdrawn, with a cost of Rs. 200,000 imposed on the appellant payable to BPPRA within 15 days and a direction to PHE to ensure future compliance.</t>
  </si>
  <si>
    <t>solarization; water supply schemes; Zhob; non-advertisement; Rule 15; rate analysis; bank guarantee; withdrawal; costs Rs 200000; Public Health Engineering</t>
  </si>
  <si>
    <t>Companion appeal 17/2025</t>
  </si>
  <si>
    <t>Cited 2025 MLD 385; 2025 CLC 348; 2024 MLD 203; 2024 CLC 325</t>
  </si>
  <si>
    <t>68.pdf</t>
  </si>
  <si>
    <t>OCR title 68. Estimated cost Rs. 74.122 million. Appellant 2nd lowest bidder. Private member Abdul Hayee Baloch.</t>
  </si>
  <si>
    <t>PRC-00016</t>
  </si>
  <si>
    <t>PRC Appeal No. 17/2025</t>
  </si>
  <si>
    <t>Construction of Water Supply Scheme near Tablighi Markaz, repair of water storage tanks Killi Shekhan, WSS to GPS Manzakai, HDPE pipelines in Shamsi Colony Zhob City, and 12 Solarised WSS for Qamerdin Karez Zhob</t>
  </si>
  <si>
    <t>252608810743</t>
  </si>
  <si>
    <t>Rule 56-A, Rule 56, Rule 15(2)&amp;(3) of Balochistan Public Procurement Rules 2014</t>
  </si>
  <si>
    <t>Whether non-advertisement of the tender in newspapers (Rule 15) and the successful bidder's failure to submit rate analysis and Bank Guarantee/CDR amounted to mis-procurement, and the effect of the appellant's withdrawal.</t>
  </si>
  <si>
    <t>Appellant alleged the tender was not advertised in newspapers and that the lowest bidder failed to submit rate analysis and a Bank Guarantee/CDR. The Committee found apparent procedural irregularities amounting to mis-procurement but the appellant sought withdrawal after consuming the forum's time. The application was accepted and the appeal disposed of as withdrawn, with a cost of Rs. 200,000 imposed on the appellant payable to BPPRA within 15 days.</t>
  </si>
  <si>
    <t>water supply scheme; Zhob; non-advertisement; Rule 15; rate analysis; bank guarantee; withdrawal; costs Rs 200000; Public Health Engineering</t>
  </si>
  <si>
    <t>Companion appeal 16/2025</t>
  </si>
  <si>
    <t>67.pdf</t>
  </si>
  <si>
    <t>OCR title 67. Estimated cost Rs. 63,172,000. Lowest bidder M/s Nawabzada Zulqarnain Jogezai &amp; Sons. Private member Abdul Hayee Baloch.</t>
  </si>
  <si>
    <t>PRC-00017</t>
  </si>
  <si>
    <t>PRC Appeal No. 18/2025</t>
  </si>
  <si>
    <t>M/s Jaffar Brothers Government Contractor</t>
  </si>
  <si>
    <t>Urban Planning &amp; Development Department, Zhob Division / Loralai</t>
  </si>
  <si>
    <t>Construction and Rehabilitation of Road from Killi Marki to Killi Landi, Musakhail, PSDP #6121 (2025-26)</t>
  </si>
  <si>
    <t>PRQ No. 731/21-08-2025</t>
  </si>
  <si>
    <t>25260881699</t>
  </si>
  <si>
    <t>Musakhail</t>
  </si>
  <si>
    <t>Rule 56-A, Rule 4, Rule 35(1) of Balochistan Public Procurement Rules 2014</t>
  </si>
  <si>
    <t>Whether disqualifying the appellant for 'no date on stamp paper' was lawful when the awarded bidder had the same defect, and whether such a minor non-material irregularity could justify disqualification.</t>
  </si>
  <si>
    <t>Appellant was disqualified for an allegedly undated affidavit/stamp paper while the awarded bidder (Respondent No.4) had the identical defect. The Committee held the selective application of rules and material deviation from criteria (Rules 4 and 35(1)) unlawful. It allowed the appeal, set aside the Technical Evaluation Report and contract award to Respondent No.4 as void, and remanded the matter for re-evaluation of the appellant's bid within 7 days with compliance report in 15 days.</t>
  </si>
  <si>
    <t>road construction; Musakhail; stamp paper; non-material defect; Rule 35(1); set aside; remanded; appeal allowed; Communication &amp; Works</t>
  </si>
  <si>
    <t>66.pdf</t>
  </si>
  <si>
    <t>OCR title 66. Estimated cost Rs. 74.25 million. Outcome Accepted (allowed) with remand. Private member Abdul Hayee Baloch. Urban Planning (roads) mapped to Communication &amp; Works.</t>
  </si>
  <si>
    <t>PRC-00018</t>
  </si>
  <si>
    <t>PRC Appeal No. 21/2025</t>
  </si>
  <si>
    <t>M/S SK Durrani, Government Contractor</t>
  </si>
  <si>
    <t>Government of Balochistan, Secretary Local Government &amp; Others</t>
  </si>
  <si>
    <t>Local &amp; Rural Development Department, Killa Abdullah</t>
  </si>
  <si>
    <t>Bore with Solar in Killi Bala Masazai, District Killah Abdullah</t>
  </si>
  <si>
    <t>252608822653</t>
  </si>
  <si>
    <t>Killa Abdullah</t>
  </si>
  <si>
    <t>BPPRA Rules 2014</t>
  </si>
  <si>
    <t>Regulation 16(2) of PRC Regulations</t>
  </si>
  <si>
    <t>Whether the appellant's disqualification for unmarked attendance was lawful given discrepancies between manual and system-generated attendance sheets, and whether costs should be imposed on withdrawal.</t>
  </si>
  <si>
    <t>Appellant M/S SK Durrani challenged disqualification for unmarked attendance and alleged a fabricated 'ghost' attendance sheet for the Bore with Solar tender at Killi Bala Masazai. The Committee found glaring discrepancies between manual and system records, declaring the practice illegal and arbitrary. Counsel sought unconditional withdrawal under Regulation 16(2), permitted; appeal dismissed as withdrawn with costs of PKR 100,000 on the appellant.</t>
  </si>
  <si>
    <t>bore with solar; attendance sheet; ghost attendance; Killa Abdullah; withdrawal; costs PKR 100000; Regulation 16(2); SK Durrani</t>
  </si>
  <si>
    <t>Companion appeals 22/2025, 23/2025, 24/2025 (Inayat Ullah series)</t>
  </si>
  <si>
    <t>63.pdf</t>
  </si>
  <si>
    <t>OCR title 63. PRC Appeal No.21/2025. LGRD mapped to Local Government.</t>
  </si>
  <si>
    <t>PRC-00019</t>
  </si>
  <si>
    <t>PRC Appeal No. 22/2025</t>
  </si>
  <si>
    <t>M/S Inayat Ullah Khan Achakzai &amp; Brothers</t>
  </si>
  <si>
    <t>Bore with Solar in Killi Khorkai Kakozai, District Killah Abdullah</t>
  </si>
  <si>
    <t>252608822223</t>
  </si>
  <si>
    <t>Appellant challenged disqualification for unmarked attendance and alleged a fabricated 'ghost' attendance sheet for the Bore with Solar tender at Killi Khorkai Kakozai. The Committee found glaring discrepancies between manual and system records, declaring the practice illegal and arbitrary. Counsel sought unconditional withdrawal under Regulation 16(2), permitted; appeal dismissed as withdrawn with costs of PKR 100,000 on the appellant.</t>
  </si>
  <si>
    <t>bore with solar; attendance sheet; ghost attendance; Killa Abdullah; withdrawal; costs PKR 100000; Regulation 16(2); Local Government</t>
  </si>
  <si>
    <t>Companion appeals 21/2025, 23/2025, 24/2025</t>
  </si>
  <si>
    <t>62.pdf</t>
  </si>
  <si>
    <t>OCR title 62. LGRD mapped to Local Government.</t>
  </si>
  <si>
    <t>PRC-00020</t>
  </si>
  <si>
    <t>PRC Appeal No. 23/2025</t>
  </si>
  <si>
    <t>Bore with Solar in Killi Arambi Kakozai, District Killah Abdullah</t>
  </si>
  <si>
    <t>252608813573</t>
  </si>
  <si>
    <t>Appellant challenged disqualification for unmarked attendance and alleged a fabricated 'ghost' attendance sheet for the Bore with Solar tender at Killi Arambi Kakozai. The Committee found glaring discrepancies between manual and system records, declaring the practice illegal and arbitrary. Counsel sought unconditional withdrawal under Regulation 16(2), permitted; appeal dismissed as withdrawn with costs of PKR 100,000 on the appellant.</t>
  </si>
  <si>
    <t>Companion appeals 21/2025, 22/2025, 24/2025</t>
  </si>
  <si>
    <t>61.pdf</t>
  </si>
  <si>
    <t>OCR title 61. LGRD mapped to Local Government.</t>
  </si>
  <si>
    <t>PRC-00021</t>
  </si>
  <si>
    <t>PRC Appeal No. 24/2025</t>
  </si>
  <si>
    <t>Bore with Solar in Killi Ramazan Aka Arambi, District Killah Abdullah</t>
  </si>
  <si>
    <t>252608809743</t>
  </si>
  <si>
    <t>Appellant challenged disqualification for unmarked attendance and alleged a fabricated 'ghost' attendance sheet. The Committee found glaring discrepancies between manual and system records, declaring the practice illegal and arbitrary. Counsel sought unconditional withdrawal under Regulation 16(2), permitted; appeal dismissed as withdrawn with costs of PKR 100,000 on the appellant.</t>
  </si>
  <si>
    <t>Companion appeals 21/2025, 22/2025, 23/2025</t>
  </si>
  <si>
    <t>60.pdf</t>
  </si>
  <si>
    <t>OCR title 60. Appeal No.24/2025 inferred from companion series. LGRD mapped to Local Government.</t>
  </si>
  <si>
    <t>PRC-00022</t>
  </si>
  <si>
    <t>PRC Appeal No. 25/2025</t>
  </si>
  <si>
    <t>M/s Grow International Consulting (Private) Limited</t>
  </si>
  <si>
    <t>Government of Balochistan through Secretary B-TEVTA &amp; Others</t>
  </si>
  <si>
    <t>Balochistan Technical Education and Vocational Training Authority (B-TEVTA)</t>
  </si>
  <si>
    <t>Education</t>
  </si>
  <si>
    <t>Rule 56-A, Rule 56, Rule 32(1) of Balochistan Public Procurement Rules 2014</t>
  </si>
  <si>
    <t>Whether disqualification of the consultant at Stage-II on identical documents previously accepted at Stage-I was lawful, and whether the 5MB ePPS upload limit and work-completion-certificate criterion justified relief.</t>
  </si>
  <si>
    <t>Appellant, a consulting firm, challenged its Stage-II disqualification by B-TEVTA after qualifying Stage-I. The Committee found the appeal devoid of merit: under Rule 32(1) the appellant should have sought written clarification on evaluation criteria; the 5MB upload limit was a system parameter the appellant failed to comply with, and 9 of 13 bidders qualified without such issue. The appeal was dismissed as devoid of merit.</t>
  </si>
  <si>
    <t>consultancy; Stage-II disqualification; B-TEVTA; ePPS; 5MB upload limit; Rule 32(1); evaluation criteria; dismissed</t>
  </si>
  <si>
    <t>Earlier appeal by same appellant allowed re Stage-I document visibility</t>
  </si>
  <si>
    <t>59.pdf</t>
  </si>
  <si>
    <t>OCR title 59. B-TEVTA mapped to Education.</t>
  </si>
  <si>
    <t>PRC-00023</t>
  </si>
  <si>
    <t>26/2025</t>
  </si>
  <si>
    <t>M/S The Consultracts Private Limited</t>
  </si>
  <si>
    <t>Secretary, Labour &amp; Manpower Department &amp; Others</t>
  </si>
  <si>
    <t>B-TEVTA (Balochistan TEVTA)</t>
  </si>
  <si>
    <t>2425504688052</t>
  </si>
  <si>
    <t>Other</t>
  </si>
  <si>
    <t>Whether the appeal challenging the tender under TSE 2425504688052 should be allowed to be withdrawn unconditionally.</t>
  </si>
  <si>
    <t>The counsel for the appellant requested unconditional withdrawal of the appeal. The Committee allowed the request with a cost of 1 million rupees imposed on the appellant.</t>
  </si>
  <si>
    <t>withdrawal; Labour &amp; Manpower; B-TEVTA; costs; unconditional; Rule 56-A; tender</t>
  </si>
  <si>
    <t>58.pdf</t>
  </si>
  <si>
    <t>Department Labour &amp; Manpower (not in allowed list) mapped to Other. Respondent No.3 B-TEVTA. Cost 1 million rupees.</t>
  </si>
  <si>
    <t>PRC-00024</t>
  </si>
  <si>
    <t>27-28/2025</t>
  </si>
  <si>
    <t>M/S Haji Muhammad Umar &amp; Brothers</t>
  </si>
  <si>
    <t>Secretary, Communication, Works and Physical Planning Department &amp; Others</t>
  </si>
  <si>
    <t>Communication, Works and Physical Planning Department</t>
  </si>
  <si>
    <t>252609840493; 252609840623</t>
  </si>
  <si>
    <t>Whether the consolidated appeals against TSE 252609840493 and TSE 252609840623 should be allowed to be withdrawn unconditionally.</t>
  </si>
  <si>
    <t>The appellant filed an application to withdraw the appeal unconditionally. The request was allowed with a cost of Rs.30,000 imposed against each appeal (PRC Appeal No 27/2025 and 28/2025).</t>
  </si>
  <si>
    <t>withdrawal; Communication &amp; Works; consolidated appeals; costs; Rule 56-A; two TSE; tender</t>
  </si>
  <si>
    <t>PRC 27/2025 and 28/2025 (consolidated)</t>
  </si>
  <si>
    <t>56.pdf</t>
  </si>
  <si>
    <t>Two TSE numbers; cost Rs.30,000 per appeal. Same matter as fileid 1nqJ (57.pdf).</t>
  </si>
  <si>
    <t>PRC-00025</t>
  </si>
  <si>
    <t>57.pdf</t>
  </si>
  <si>
    <t>Possible Duplicate</t>
  </si>
  <si>
    <t>Duplicate document of fileid 1GM6 (56.pdf); same short order dated 5 November 2025. Cost Rs.30,000 per appeal.</t>
  </si>
  <si>
    <t>PRC-00026</t>
  </si>
  <si>
    <t>29/2025</t>
  </si>
  <si>
    <t>M/S Fiza Group of Construction Company (Mr. Abdul Ali)</t>
  </si>
  <si>
    <t>Government of Balochistan (Secretary, Public Health Engineering Dept) &amp; Others</t>
  </si>
  <si>
    <t>Public Health Engineering Division, District Sherani at Zhob (XEN PHE)</t>
  </si>
  <si>
    <t>Solar Water Supply Schemes in District Sherani</t>
  </si>
  <si>
    <t>252608812933</t>
  </si>
  <si>
    <t>Sherani</t>
  </si>
  <si>
    <t>Habib-ur-Rehman Jamot</t>
  </si>
  <si>
    <t>Rule 57 BPP Rules 2014</t>
  </si>
  <si>
    <t>Whether the 'work in hand' condition was lawful and whether repeated defective conditions and disregard of BPPRA directives vitiated the procurement. The committee held the process was fundamentally flawed and void.</t>
  </si>
  <si>
    <t>As with the parallel Fiza Group appeals, the 'work in hand' condition contravened fair competition, the '85% completion' condition was repeated four times ('system error'), and two BPPRA letters ignored. The committee declared the procurement a mis-procurement and annulled it; payment to Respondent No.4 during pendency at the Agency's own risk. Estimated budget PKR 19,183,000.</t>
  </si>
  <si>
    <t>work in hand; mis-procurement; Rule 57; PHE; Sherani; solar water supply; BPPRA directives; annulled</t>
  </si>
  <si>
    <t>30/2025; 31/2025; 32/2025 (related Fiza Group PHE Sherani appeals)</t>
  </si>
  <si>
    <t>55.pdf</t>
  </si>
  <si>
    <t>Technical Member Muhammad Ayub Nasir; Private Member Syed Muheebullah. Decision dated 17 November 2025. Budget PKR 19,183,000.</t>
  </si>
  <si>
    <t>PRC-00027</t>
  </si>
  <si>
    <t>30/2025</t>
  </si>
  <si>
    <t>Construction of Various Water Supply Schemes in U/C 1,5,6,8,17 and 18 in District Sherani</t>
  </si>
  <si>
    <t>252608812853</t>
  </si>
  <si>
    <t>In line with the parallel Fiza Group appeals, the 'work in hand' condition contravened fair competition, the '85% completion' condition was repeated four times ('system error') and two BPPRA letters ignored. The committee declared the procurement a mis-procurement and annulled it; payment to Respondent No.4 during pendency at the Agency's own risk. Estimated budget PKR 27,112,000.</t>
  </si>
  <si>
    <t>work in hand; mis-procurement; Rule 57; PHE; Sherani; water supply; BPPRA directives; annulled</t>
  </si>
  <si>
    <t>29/2025; 31/2025; 32/2025 (related Fiza Group PHE Sherani appeals)</t>
  </si>
  <si>
    <t>54.pdf</t>
  </si>
  <si>
    <t>Technical Member Muhammad Ayub Nasir; Private Member Syed Muheebullah. Decision dated 17 November 2025. Budget PKR 27,112,000.</t>
  </si>
  <si>
    <t>PRC-00028</t>
  </si>
  <si>
    <t>31/2025</t>
  </si>
  <si>
    <t>Construction of Various Water Supply Schemes in U/C 5, 9, 10, 12, 13, 14 and 16 in District Sherani</t>
  </si>
  <si>
    <t>252608812823</t>
  </si>
  <si>
    <t>Whether the 'work in hand' condition was lawful and whether repeated defective conditions and disregard of BPPRA directives vitiated the procurement. The committee held the process was fundamentally flawed.</t>
  </si>
  <si>
    <t>As in the parallel Fiza Group appeals, the 'work in hand' condition contravened fair competition, the Agency repeated an '85% completion' condition four times ('system error') and ignored two BPPRA letters. The committee declared the procurement a mis-procurement and annulled it; payment to Respondent No.4 during pendency at the Agency's own risk. Estimated budget PKR 26,807,000.</t>
  </si>
  <si>
    <t>29/2025; 30/2025; 32/2025 (related Fiza Group PHE Sherani appeals)</t>
  </si>
  <si>
    <t>53.pdf</t>
  </si>
  <si>
    <t>Technical Member Muhammad Ayub Nasir; Private Member Syed Muheebullah. Decision dated 17 November 2025. Budget PKR 26,807,000.</t>
  </si>
  <si>
    <t>PRC-00029</t>
  </si>
  <si>
    <t>32/2025</t>
  </si>
  <si>
    <t>Construction of Various Water Supply Schemes in U/C 2,3,4 and 7 in District Sherani</t>
  </si>
  <si>
    <t>252608812843</t>
  </si>
  <si>
    <t>Whether the 'work in hand' condition was lawful and whether repeated defective conditions and disregard of BPPRA directives vitiated the procurement. The committee held the condition was inconsistent with the BPP Rules and the process fundamentally flawed.</t>
  </si>
  <si>
    <t>The 'work in hand' condition contravened fair competition; the Agency repeated an '85% completion' condition four times (a 'system error') and ignored two BPPRA letters. Finding the process willfully negligent and void, the committee declared it a mis-procurement and annulled it; payment to Respondent No.4 during pendency at the Agency's own risk. Estimated budget PKR 25,740,000.</t>
  </si>
  <si>
    <t>29/2025; 30/2025; 31/2025 (related Fiza Group PHE Sherani appeals)</t>
  </si>
  <si>
    <t>52.pdf</t>
  </si>
  <si>
    <t>Technical Member Muhammad Ayub Nasir; Private Member Syed Muheebullah. Signatures dated 17-11-2025. Budget PKR 25,740,000.</t>
  </si>
  <si>
    <t>PRC-00030</t>
  </si>
  <si>
    <t>33 &amp; 34/2025</t>
  </si>
  <si>
    <t>M/S Agha Construction Company (Nawaz Ibrahim)</t>
  </si>
  <si>
    <t>Irrigation Department, Balochistan (XEN Irrigation, Hub)</t>
  </si>
  <si>
    <t>PRQ No. 767/22-08-2025</t>
  </si>
  <si>
    <t>252608820803 &amp; 252608820933</t>
  </si>
  <si>
    <t>Hub</t>
  </si>
  <si>
    <t>Rule 56-A (Sub Rule 1) BPP Rules 2014</t>
  </si>
  <si>
    <t>Whether the appeal was time-barred and whether disqualification for non-submission of 2025 turnover was justified. The committee held the appeal was filed beyond the statutory limit.</t>
  </si>
  <si>
    <t>Appellant disqualified for non-submission of similar nature assignment and submitting only one year's turnover (2022-2024, not 2025). Disqualification justified; appeal filed beyond the limit under Rule 56-A with no condonation; review before the Chief Engineer was a wrong forum. Dismissed as time-barred.</t>
  </si>
  <si>
    <t>time-barred; turnover; condonation of delay; Rule 56A; dismissed; Irrigation; Hub; wrong forum</t>
  </si>
  <si>
    <t>33 &amp; 34/2025 (duplicate scan file 51.pdf)</t>
  </si>
  <si>
    <t>50.pdf</t>
  </si>
  <si>
    <t>Members beyond Chairman not listed on OCR pages. Maxim: Law is for the vigilant not for the indolent. Same case as 51.pdf (1gdDrWKMD6...).</t>
  </si>
  <si>
    <t>PRC-00031</t>
  </si>
  <si>
    <t>33 &amp; 34/2025 (duplicate scan file 50.pdf)</t>
  </si>
  <si>
    <t>51.pdf</t>
  </si>
  <si>
    <t>Duplicate scan of the same decision as 50.pdf (1MnjvkLAC8o0...).</t>
  </si>
  <si>
    <t>PRC-00032</t>
  </si>
  <si>
    <t>35/2025</t>
  </si>
  <si>
    <t>M/S Moosa Jan &amp; Co.</t>
  </si>
  <si>
    <t>Government of Balochistan (Chief Secretary) &amp; Others</t>
  </si>
  <si>
    <t>Irrigation Department, Balochistan (XEN Irrigation Division, Quetta)</t>
  </si>
  <si>
    <t>Construction of Flood Protection Wall at Killi Mula Khail and Sara Khula Area, District Quetta</t>
  </si>
  <si>
    <t>PRQ No. 799/25-8-2025</t>
  </si>
  <si>
    <t>252608825213</t>
  </si>
  <si>
    <t>Rule 56(A) BPP Rules 2014</t>
  </si>
  <si>
    <t>Whether the Procuring Agency properly disqualified the Appellant for failing to provide two similar-nature (flood protection wall) projects required by the eligibility criteria. The committee held the criteria were properly applied.</t>
  </si>
  <si>
    <t>Appellant claimed two similar projects but evaluation showed only one qualifying flood-protection-wall project meeting the 50% estimated-cost requirement, while documents required two. Agency properly applied published criteria. Appeal dismissed; Agency to proceed under BPP Rules 2014. Estimated cost Rs. 150,000,000.</t>
  </si>
  <si>
    <t>similar nature of work; flood protection wall; eligibility criteria; dismissed; Rule 56A; Irrigation; Quetta</t>
  </si>
  <si>
    <t>36/2025 (Moosa Jan &amp; Co.)</t>
  </si>
  <si>
    <t>49.pdf</t>
  </si>
  <si>
    <t>Technical Member Iftikhar Ahmed Mir; Private Member Abdul Wahab Bulledi. Estimated cost Rs. 150,000,000/-. Final hearing 18-11-2025.</t>
  </si>
  <si>
    <t>PRC-00033</t>
  </si>
  <si>
    <t>36/2025</t>
  </si>
  <si>
    <t>Construction of Dam at Sara Khulla, District Quetta</t>
  </si>
  <si>
    <t>PRQ No. 801/25-08-2025</t>
  </si>
  <si>
    <t>Rule 56(A); Rule 35 BPP Rules 2014</t>
  </si>
  <si>
    <t>Whether the Procuring Agency could disqualify a bidder on a 'Gravity Dam' experience criterion not disclosed in the Tender Notice. The committee held bidders cannot be disqualified on undisclosed criteria.</t>
  </si>
  <si>
    <t>The Appellant was declared ineligible solely for lacking 'Gravity Dam' experience, which the Agency conceded was not in the Tender Notice. Importing an undisclosed criterion was a material deviation. Appeal allowed; disqualification declared void; Agency directed to re-evaluate under BPP Rule 35.</t>
  </si>
  <si>
    <t>undisclosed criteria; disqualification; gravity dam; similar nature of work; re-evaluation; Rule 56A; Irrigation</t>
  </si>
  <si>
    <t>35/2025 (Moosa Jan &amp; Co.)</t>
  </si>
  <si>
    <t>48.pdf</t>
  </si>
  <si>
    <t>Technical Member Iftikhar Ahmed Mir; Private Member Abdul Wahab Bulledi. Final hearing 18-11-2025.</t>
  </si>
  <si>
    <t>PRC-00034</t>
  </si>
  <si>
    <t>38/2025</t>
  </si>
  <si>
    <t>M/S Hazrat Ali Kakar &amp; Company (through owner Hazrat Ali)</t>
  </si>
  <si>
    <t>Secretary Public Health Engineering Department &amp; Others</t>
  </si>
  <si>
    <t>Executive Engineer, Public Health Engineering Department, Pishin</t>
  </si>
  <si>
    <t>WSS Bore for Girls Elementary College District Pishin</t>
  </si>
  <si>
    <t>PRQ No. 1350/18-09-2025</t>
  </si>
  <si>
    <t>252609860403</t>
  </si>
  <si>
    <t>Pishin</t>
  </si>
  <si>
    <t>Iftikhar Ahmed Sanjrani (Co-opted)</t>
  </si>
  <si>
    <t>Whether the Procuring Agency improperly knocked out the appellant financial bid in a single-stage single-envelope procurement and informally split technical and financial bids without any clause in the NIT.</t>
  </si>
  <si>
    <t>The work was awarded to Respondent No.4 who quoted 0.32% below while the appellant quoted about 10% below. The Procuring Agency admitted the appellant financial bid may have been missed due to workload, showing the process was tainted with bias and arbitrariness. The appeal was allowed and the tender process under TSE 252609860403 declared mis-procurement.</t>
  </si>
  <si>
    <t>single stage single envelope; financial bid; mis-procurement; PHE; WSS Pishin; bias; allowed</t>
  </si>
  <si>
    <t>PRC 39/2025 (related Hazrat Ali Kakar / PHE Pishin)</t>
  </si>
  <si>
    <t>47.pdf</t>
  </si>
  <si>
    <t>Estimated cost approx Rs.9,548,000 (OCR garbled). Technical member Iftikhar Mir; private member Abdul Wahab Bulledi.</t>
  </si>
  <si>
    <t>PRC-00035</t>
  </si>
  <si>
    <t>39/2025</t>
  </si>
  <si>
    <t>WSS Naseem Khan Zarghoon Karezat District Pishin</t>
  </si>
  <si>
    <t>252609860473</t>
  </si>
  <si>
    <t>The work was awarded to Respondent No.4 who quoted 0.32% below while the appellant quoted about 10% below. The Procuring Agency admitted the appellant financial bid may have been missed due to workload, showing the process was tainted with bias and arbitrariness. The appeal was allowed and the tender process under TSE 252609860473 declared mis-procurement.</t>
  </si>
  <si>
    <t>PRC 38/2025 (related Hazrat Ali Kakar / PHE Pishin)</t>
  </si>
  <si>
    <t>46.pdf</t>
  </si>
  <si>
    <t>Estimated cost Rs.9,352,000. Technical member Iftikhar Mir; private member Abdul Wahab Bulledi.</t>
  </si>
  <si>
    <t>PRC-00036</t>
  </si>
  <si>
    <t>40/2025</t>
  </si>
  <si>
    <t>M/s Hazrat Ali Kakar &amp; Company</t>
  </si>
  <si>
    <t>Government of Balochistan (Secretary, Communication &amp; Works, Physical Planning &amp; Housing Dept) &amp; Others</t>
  </si>
  <si>
    <t>Communication &amp; Works (CWPP&amp;H) Department, Pishin (XEN Roads, Pishin)</t>
  </si>
  <si>
    <t>Construction of BT Road in Killi Lamaran Muhammad Din Colony MC Pishin</t>
  </si>
  <si>
    <t>PRQ No. 1349/18-09-2025</t>
  </si>
  <si>
    <t>252609862323</t>
  </si>
  <si>
    <t>Partly Allowed</t>
  </si>
  <si>
    <t>Rule 56-A; Rule 57 BPP Rules 2014</t>
  </si>
  <si>
    <t>Whether the award was lawful where neither the Appellant nor the successful private respondent met the similar-assignment requirement for three years. The committee found the work was illegally awarded.</t>
  </si>
  <si>
    <t>Neither party met the similar-assignment requirement, yet Respondent No.3 unlawfully awarded the work and issued a work order. Appeal partially accepted to the extent the work was illegally awarded; procurement against TSE 252609862323 declared null and void as Mis-Procurement under Rule 57. Estimated cost Rs. 9,900,000.</t>
  </si>
  <si>
    <t>mis-procurement; Rule 57; similar assignment; illegal award; BT road; partly allowed; CWPP&amp;H; Pishin</t>
  </si>
  <si>
    <t>45.pdf</t>
  </si>
  <si>
    <t>Technical Member Ayub Nasir; Private Member Abdul Hayee Baloch. Estimated cost Rs. 9,900,000/-.</t>
  </si>
  <si>
    <t>PRC-00037</t>
  </si>
  <si>
    <t>41/2025</t>
  </si>
  <si>
    <t>Government of Balochistan, Secretary Communication, Works, Physical Planning &amp; Housing Department &amp; Others</t>
  </si>
  <si>
    <t>Executive Engineer (Roads), CWPP&amp;H, Pishin</t>
  </si>
  <si>
    <t>Construction of Main Road Huramzai Tehsil Huramzai District Pishin</t>
  </si>
  <si>
    <t>252609862163</t>
  </si>
  <si>
    <t>Rule 56-A; Rule 57</t>
  </si>
  <si>
    <t>Whether the work was lawfully awarded when neither the appellant nor the successful private respondent had fulfilled the similar-assignment experience requirement.</t>
  </si>
  <si>
    <t>The record revealed neither the appellant nor the private respondent had fulfilled the requirement of similar assignments in the past three years, yet Respondent No.3 awarded the work to the private respondent. The appeal was partially accepted to the extent the work was illegally awarded, and the procurement under TSE 252609862163 was declared null and void as Mis-Procurement under Rule 57 of BPP Rules 2014.</t>
  </si>
  <si>
    <t>similar assignment; mis-procurement; partly allowed; Huramzai road; CWPP&amp;H; Pishin; Rule 57</t>
  </si>
  <si>
    <t>PRC 43/2025 (same TSE 252609862163); PRC 42/2025</t>
  </si>
  <si>
    <t>44.pdf</t>
  </si>
  <si>
    <t>Estimated cost Rs.14,760,000. Same project/TSE as PRC 43/2025 (fileid 1HkC). Technical member Ayub Nasir; private member Abdul Hayee Baloch.</t>
  </si>
  <si>
    <t>PRC-00038</t>
  </si>
  <si>
    <t>42/2025</t>
  </si>
  <si>
    <t>M/s Malik Salah-ud-din &amp; Company Govt Contractor</t>
  </si>
  <si>
    <t>The record revealed neither the appellant nor the private respondent had fulfilled the requirement of similar assignments in the past three years, yet Respondent No.3 awarded the work to the private respondent. The appeal was partially accepted to the extent the work was illegally awarded, and the procurement under TSE 252609862323 was declared null and void as Mis-Procurement under Rule 57 of BPP Rules 2014.</t>
  </si>
  <si>
    <t>similar assignment; mis-procurement; partly allowed; BT road; CWPP&amp;H; Pishin; Rule 57</t>
  </si>
  <si>
    <t>PRC 41/2025; PRC 43/2025 (related Pishin C&amp;W appeals)</t>
  </si>
  <si>
    <t>43.pdf</t>
  </si>
  <si>
    <t>Estimated cost Rs.9,900,000. Technical member Ayub Nasir; private member Abdul Hayee Baloch.</t>
  </si>
  <si>
    <t>PRC-00039</t>
  </si>
  <si>
    <t>43/2025</t>
  </si>
  <si>
    <t>PRC 41/2025; PRC 42/2025 (related Pishin C&amp;W appeals)</t>
  </si>
  <si>
    <t>42.pdf</t>
  </si>
  <si>
    <t>Estimated cost Rs.14,760,000. Same TSE 252609862163 also appears in PRC 41/2025 (fileid 1_EU). Technical member Ayub Nasir; private member Abdul Hayee Baloch.</t>
  </si>
  <si>
    <t>PRC-00040</t>
  </si>
  <si>
    <t>44/2025</t>
  </si>
  <si>
    <t>M/S Moosa Jan &amp; Co (through Hamayoun Khan S/o Moosa Jan)</t>
  </si>
  <si>
    <t>Executive Engineer, Building PP&amp;H District Ziarat, C&amp;W Department</t>
  </si>
  <si>
    <t>Quaid e Azam Library and Museum Ziarat (Culture Department)</t>
  </si>
  <si>
    <t>252609849293</t>
  </si>
  <si>
    <t>Ziarat</t>
  </si>
  <si>
    <t>Iftikhar Ali Sanjrani (Co-opted)</t>
  </si>
  <si>
    <t>BPPRA EPPS Regulation 2025 Rule 13(g)</t>
  </si>
  <si>
    <t>Whether disqualifying the lowest evaluated bidder as non-responsive for non-submission of original physical bid security (CDR) was justified when the NIT did not require physical submission.</t>
  </si>
  <si>
    <t>The appellant was the lowest evaluated bidder (99/100 technical) but was declared non-responsive for not physically submitting the original CDR, which the NIT did not require. The Committee held the disqualification unjustified, set aside the GRC decision dated 11-11-2025, and declared TSE No. 252609849293 mis-procurement.</t>
  </si>
  <si>
    <t>bid security; CDR; mis-procurement; non-responsive; C&amp;W; Ziarat library; lowest bidder; GRC</t>
  </si>
  <si>
    <t>41.pdf</t>
  </si>
  <si>
    <t>Technical member Iftikhar Ahmed Mir; private member Abdul Wahab Bulledi. Project under Culture Department but procured via C&amp;W Building PP&amp;H.</t>
  </si>
  <si>
    <t>PRC-00041</t>
  </si>
  <si>
    <t>45/2025</t>
  </si>
  <si>
    <t>M/s Noor Khan Construction Company</t>
  </si>
  <si>
    <t>Secretary, LGRD Department &amp; Others</t>
  </si>
  <si>
    <t>Local Government &amp; Rural Development (LGRD) Department</t>
  </si>
  <si>
    <t>PRQ No. 1264/15-09-2025</t>
  </si>
  <si>
    <t>252609854263</t>
  </si>
  <si>
    <t>Iftikhar Ahmed Sanjrani</t>
  </si>
  <si>
    <t>Rule 56-A BPP Rules 2014</t>
  </si>
  <si>
    <t>Whether disqualification for non-submission of three years' turnover was valid; resolved by the Appellant's request for withdrawal rather than on merits.</t>
  </si>
  <si>
    <t>The Appellant challenged disqualification for non-submission of three years' turnover (claimed over Rs.1493 million for 2022-2025). At final hearing the official respondents did not appear and counsel requested withdrawal. Accepted subject to cost of Rs. 300,000; appeal dismissed as withdrawn.</t>
  </si>
  <si>
    <t>withdrawal; turnover; disqualification; cost Rs. 300,000; LGRD; Rule 56A; dismissed as withdrawn</t>
  </si>
  <si>
    <t>40.pdf</t>
  </si>
  <si>
    <t>LGRD mapped to Local Government. Co-Opted Member Iftikhar Ahmed Sanjrani; Tech Member Iftikhar Ahmed Mir; Private Member Abdul Wahab Bulledi. Cost Rs. 300,000 PKR.</t>
  </si>
  <si>
    <t>PRC-00042</t>
  </si>
  <si>
    <t>46</t>
  </si>
  <si>
    <t>M/s Noor Khan Construction Company (NKCC), Quetta</t>
  </si>
  <si>
    <t>The Secretary, CWPP&amp;H Department, Government of Balochistan &amp; Others</t>
  </si>
  <si>
    <t>Executive Engineer (Buildings), CWPP&amp;H Department, District Naseerabad, Dera Murad Jamali</t>
  </si>
  <si>
    <t>Construction of boundary wall for New Proposed Building of Election Office Dera Murad Jamali, District Naseerabad</t>
  </si>
  <si>
    <t>PRQ No. 1785 dated 08-10-2025; TSE No. 252610889893</t>
  </si>
  <si>
    <t>252610889893</t>
  </si>
  <si>
    <t>Naseerabad</t>
  </si>
  <si>
    <t>Mubashir Ali Khan</t>
  </si>
  <si>
    <t>Iftikhar Ahmed Mir (Technical Member)</t>
  </si>
  <si>
    <t>Rule 56-A; Rule 56 of Balochistan Public Procurement Rules 2014</t>
  </si>
  <si>
    <t>Whether the appellant was wrongly excluded from eligibility despite participating, and whether a valid complaint was filed before the CRC under Rule 56.</t>
  </si>
  <si>
    <t>The Committee found the dispute over whether the appellant submitted a bid in time required pro and contra evidence which the forum lacks jurisdiction to take, and the appellant failed to prove a complaint was filed before the CRC under Rule 56 (the alleged complaint lacked a postal receipt). The appeal was dismissed.</t>
  </si>
  <si>
    <t>bid submission dispute; CRC complaint; postal receipt; jurisdiction; evidence; dismissed; Naseerabad; boundary wall</t>
  </si>
  <si>
    <t>PRC-046-2025_Noor_Khan_Construction_Company__NKCC_.pdf.pdf</t>
  </si>
  <si>
    <t>BPPRA/Balochistan PRC. Coopted Member Iftikhar Ahmed Sanjrani; Private Member Abdul Wahab Bulledi. Filed under Rule 56(A) vs TSE-252610889893.</t>
  </si>
  <si>
    <t>PRC-00043</t>
  </si>
  <si>
    <t>47</t>
  </si>
  <si>
    <t>M/s Daavi Construction Company, Quetta</t>
  </si>
  <si>
    <t>Municipal Committee, Gandakha</t>
  </si>
  <si>
    <t>Procurement of Tractor, Water Bowser, Spray Machine, Dewatering Pump and Garbage Container</t>
  </si>
  <si>
    <t>TSE No. 252610889501 dated 07-10-2025</t>
  </si>
  <si>
    <t>252610889501</t>
  </si>
  <si>
    <t>Gandakha</t>
  </si>
  <si>
    <t>Remanded</t>
  </si>
  <si>
    <t>Rule 56-A; Rule 13; Rule 35(1); Rule 41(3) of Balochistan Public Procurement Rules 2014</t>
  </si>
  <si>
    <t>BPPRA letter dated 09-10-2025 directing rectification of brand-name violation</t>
  </si>
  <si>
    <t>Whether the appellant was wrongly declared non-responsive on water bowser tank capacity and sprayer engine displacement, and whether the bidding documents unlawfully specified brand names contrary to Rule 13.</t>
  </si>
  <si>
    <t>The Committee found the appellant complied with both mandatory technical specifications and that the bidding documents unlawfully specified brand names contrary to Rule 13, which BPPRA had directed be rectified. Appeal ALLOWED and REMANDED; the agency to conclude re-evaluation within 7 days under Rule 35(1) r/w 41(3), upload the revised report on ePPS, and award to the lowest evaluated bidder.</t>
  </si>
  <si>
    <t>technical responsiveness; brand name specification; Rule 13; water bowser; sprayer displacement; remand; CRC; BPPRA</t>
  </si>
  <si>
    <t>PRC-047-2025_Daavi_Construction_Company.pdf</t>
  </si>
  <si>
    <t>BPPRA/Balochistan PRC. Coopted Member Iftikhar Ahmed Sanjrani; Private Member Abdul Wahab Bulledi. CRC dismissed grievance 24-11-2025. Filed under Rule 56-A vs TSE-252610889501.</t>
  </si>
  <si>
    <t>PRC-00044</t>
  </si>
  <si>
    <t>48</t>
  </si>
  <si>
    <t>M/s H.K. Niazi Government Contractor (through Attorney Imran Ullah)</t>
  </si>
  <si>
    <t>Government of Balochistan through Secretary, Communication &amp; Works Department &amp; Others</t>
  </si>
  <si>
    <t>Executive Engineer (Roads), CWPP&amp;H Department, Zhob</t>
  </si>
  <si>
    <t>Construction of 02 No. Multi-Cell Culverts at Flood River near Janazagah, Killi Appozai, District Zhob</t>
  </si>
  <si>
    <t>TSE No. 252609880443 dated 28-09-2025</t>
  </si>
  <si>
    <t>252609880443</t>
  </si>
  <si>
    <t>Rule 56; Rule 56-A(1); Rule 43; Rule 48 of Balochistan Public Procurement Rules 2014</t>
  </si>
  <si>
    <t>Whether the appellant's disqualification for non-submission of a Turnover Certificate and Blacklisting Declaration was valid, given the agency later admitted those grounds were erroneous and sought to substitute new grounds.</t>
  </si>
  <si>
    <t>The Committee found the CRC failed to decide within 18 days so the appeal was properly invoked. The agency admitted the stated grounds were erroneous (clerical/e-system errors) and tried to substitute new grounds, which is legally impermissible. The disqualification was arbitrary and procedurally vitiated. Appeal ALLOWED; Technical Evaluation Report dated 25-11-2025 SET ASIDE and matter REMANDED for re-evaluation within 15 days under Rule 43 r/w 48, with non-compliance to be treated as mis-procurement.</t>
  </si>
  <si>
    <t>turnover certificate; blacklisting declaration; ex post facto grounds; CRC delay; remand; set aside; mis-procurement; Zhob</t>
  </si>
  <si>
    <t>PRC-048-2025_HK_Niazi_Government_Contractor.pdf.pdf</t>
  </si>
  <si>
    <t>BPPRA/Balochistan PRC. Technical Member Engr. Muhammad Ayub Nasir (Retd. Chief Engineer); Private Member Syed Muheebullah. Estimated cost PKR 25.00 million.</t>
  </si>
  <si>
    <t>PRC-00045</t>
  </si>
  <si>
    <t>49</t>
  </si>
  <si>
    <t>M/s Ashfaque &amp; Brothers (Proprietor Sajjad Ahmed), District Washuk</t>
  </si>
  <si>
    <t>Executive Engineer (Building), C&amp;W Department, Washuk &amp; Others</t>
  </si>
  <si>
    <t>Executive Engineer (Building), C&amp;W Department, Washuk</t>
  </si>
  <si>
    <t>Construction of 2 Additional Rooms in RHC Salambalk, District Washuk</t>
  </si>
  <si>
    <t>Tender Serial No. 2526109031103</t>
  </si>
  <si>
    <t>2526109031103</t>
  </si>
  <si>
    <t>Washuk</t>
  </si>
  <si>
    <t>Rule 56-A; Rule 41(3); Rule 35(1); Rules 35 &amp; 48 of Balochistan Public Procurement Rules 2014</t>
  </si>
  <si>
    <t>Whether disqualifying the appellant for non-submission of the Financial Proposal envelope was sustainable under the Single Stage Two Envelope procedure.</t>
  </si>
  <si>
    <t>The Committee held that under the SSTE procedure the financial envelope is retained unopened, so the agency could not have known its contents without violating Rule 41(3); no such violation appeared in the minutes, and any physical incompleteness should have been recorded and communicated at receipt. The disqualification was legally untenable. Appeal ALLOWED; disqualification and Technical Evaluation Report SET ASIDE; matter REMANDED to verify the sealed financial envelope within 5 days and re-evaluate under Rule 35(1), issuing a revised report within 15 days.</t>
  </si>
  <si>
    <t>single stage two envelope; financial proposal envelope; Rule 41(3); disqualification set aside; remand; Washuk</t>
  </si>
  <si>
    <t>PRC-049-2025_Ashfaque___Brothers.pdf.pdf</t>
  </si>
  <si>
    <t>BPPRA/Balochistan PRC. Technical Member Engr. Muhammad Ayub Nasir; Private Member (Advocate). Estimated cost PKR 14,851,237.</t>
  </si>
  <si>
    <t>PRC-00046</t>
  </si>
  <si>
    <t>51</t>
  </si>
  <si>
    <t>M/s Sher Shah and Brothers (Construction Company), Zhob</t>
  </si>
  <si>
    <t>Executive Engineer (Building), CWPP&amp;H Department, District Zhob</t>
  </si>
  <si>
    <t>Construction of 1 add room and B/W at GBPS Sardar Meer Adam Murgha, 2 classrooms at GBHS Killi and B/W Killi Zakrazai, and missing facilities at other schools, District Zhob</t>
  </si>
  <si>
    <t>PRQ No. 1923 dated 15-10-2025; TSE No. 252610894653</t>
  </si>
  <si>
    <t>252610894653</t>
  </si>
  <si>
    <t>Rule 56-A; Rules 10, 13, 37; Rule 35(1) of Balochistan Public Procurement Rules 2014</t>
  </si>
  <si>
    <t>BPPRA guidelines discouraging irrelevant/restrictive documentation</t>
  </si>
  <si>
    <t>Whether disqualifying the appellant for non-submission of an FBR No Demand Certificate, a requirement introduced by corrigendum after bids were invited, was lawful under the BPP Rules.</t>
  </si>
  <si>
    <t>The Committee held that the FBR No Demand Certificate requirement, added by corrigendum, was an impermissible restrictive practice violating Rules 10, 13 and 37, and that the appellant had in fact attached such a certificate. The CRC's limitation finding was erroneous since the grievance was timely. Appeal ALLOWED; the Technical Evaluation Report for TSE 252610894653 SET ASIDE and the agency directed to re-evaluate the appellant's technical bid within 15 days excluding the unlawful requirement.</t>
  </si>
  <si>
    <t>corrigendum; No Demand Certificate; FBR; restrictive condition; Rule 13; technical evaluation set aside; re-evaluation; Zhob</t>
  </si>
  <si>
    <t>PRC-051-2025_Sher_Shah___Brothers.pdf.pdf</t>
  </si>
  <si>
    <t>BPPRA/Balochistan PRC. Technical Member Engr. Muhammad Ayub Nasir; Private Member Abdul Hayee Advocate. Appellant PEC Category C-2. Estimated cost PKR 35,645,525.</t>
  </si>
  <si>
    <t>PRC-00047</t>
  </si>
  <si>
    <t>52</t>
  </si>
  <si>
    <t>Amanullah Kamal Uddin Zai, Government Contractor (through Attorney Adil Khan), District Killa Saifullah</t>
  </si>
  <si>
    <t>Secretary CWPP&amp;H Government of Balochistan &amp; Others</t>
  </si>
  <si>
    <t>Executive Engineer (Building), District Killa Saifullah, C&amp;W Department</t>
  </si>
  <si>
    <t>Construction of Tehsil Office Patwarkhana, District Killa Saifullah</t>
  </si>
  <si>
    <t>PRQ No. 1778 dated 08-10-2025; TSE No. 252610890503</t>
  </si>
  <si>
    <t>252610890503</t>
  </si>
  <si>
    <t>Killa Saifullah</t>
  </si>
  <si>
    <t>Rule 56-A; Rule 40; Rule 35 of Balochistan Public Procurement Rules 2014</t>
  </si>
  <si>
    <t>Whether the technical evaluation awarding the appellant 18/50 for relevant experience (excluding a UNDP/NGO project) was lawful, and whether the appeal was barred by limitation.</t>
  </si>
  <si>
    <t>The Committee held the evaluation was conducted per the BPP Rules and bidding documents; the appellant secured only 68/100 against a 70-mark threshold and was rightly declared non-responsive, with the agency entitled to give lesser weight to NGO/UNDP experience. The grievance was also time-barred under Rule 40. The appeal was dismissed and the CRC decision dated 09-12-2025 upheld.</t>
  </si>
  <si>
    <t>relevant experience; marking scheme; non-responsive; UNDP NGO project; limitation; Rule 40; dismissed; Killa Saifullah</t>
  </si>
  <si>
    <t>PRC-052-2025_Amanullah_Kamal_Uddin_Zai.pdf</t>
  </si>
  <si>
    <t>BPPRA/Balochistan PRC. Technical Member Engr. Muhammad Ayub Nasir; Private Member Abdul Hayee Advocate. Estimated cost Rs. 15.00 million; PEC C-3.</t>
  </si>
  <si>
    <t>PRC-00048</t>
  </si>
  <si>
    <t>53</t>
  </si>
  <si>
    <t>M/s Saifullah Muhammad Shai in JV with M/s Ghulam Dastagir Construction Company</t>
  </si>
  <si>
    <t>Secretary CWPP&amp;H Department, Government of Balochistan &amp; Others</t>
  </si>
  <si>
    <t>Executive Engineer (Buildings), CWPP&amp;H Department, District Khuzdar</t>
  </si>
  <si>
    <t>Construction of Bridge at Koshk Lizzo, Koshk River to Lizzo, District Khuzdar</t>
  </si>
  <si>
    <t>TSE No. 252610903203</t>
  </si>
  <si>
    <t>252610903203</t>
  </si>
  <si>
    <t>Khuzdar</t>
  </si>
  <si>
    <t>Rule 56; Rule 35(1) of Balochistan Public Procurement Rules 2014</t>
  </si>
  <si>
    <t>Whether the JV was rightly declared non-responsive because the CDR and Green Challan were submitted by the secondary JV partner instead of the primary partner, and whether the grievance was time-barred.</t>
  </si>
  <si>
    <t>The Committee found the GRC rightly dismissed the complaint as time-barred under Rule 56 (financial evaluation uploaded 17-11-2025, complaint filed 28-11-2025) and that the eligibility condition requiring the primary JV partner to submit the CDR and Green Challan was applied uniformly to all bidders per Rule 35(1). No discrimination or arbitrariness was shown. The appeal was dismissed and the GRC decision dated 10-12-2025 upheld.</t>
  </si>
  <si>
    <t>joint venture; primary vs secondary partner; CDR; green challan; limitation; Rule 35(1); dismissed; bridge; Khuzdar</t>
  </si>
  <si>
    <t>PRC-053-2025_Saifullah_Muhammad_Shai_JV_Ghulam_Dastagir_Construction.pdf.pdf</t>
  </si>
  <si>
    <t>BPPRA/Balochistan PRC. Technical Member Engr. Muhammad Ayub Nasir; Private Member Syed Muheebullah. Estimated cost PKR 388,349,584; bid 11.5% below estimate; 3 of 9 bidders eligible.</t>
  </si>
  <si>
    <t>PRC-00049</t>
  </si>
  <si>
    <t>54</t>
  </si>
  <si>
    <t>M/s Khan Traders (through Attorney Muhammad Asif), Karachi</t>
  </si>
  <si>
    <t>Executive Engineer CWPP&amp;H Department, Kuchlak &amp; Others</t>
  </si>
  <si>
    <t>Executive Engineer (Buildings), CWPP&amp;H Department, Kuchlak</t>
  </si>
  <si>
    <t>TSE No. 253610903043</t>
  </si>
  <si>
    <t>253610903043</t>
  </si>
  <si>
    <t>Kuchlak (Quetta)</t>
  </si>
  <si>
    <t>Iftikhar Ahmed Sanjrani (Co-opted Member)</t>
  </si>
  <si>
    <t>Rule 56-A of Balochistan Public Procurement Rules 2014</t>
  </si>
  <si>
    <t>Whether the appeal should be permitted to be withdrawn after the appellant stated its grievance had been addressed at departmental level.</t>
  </si>
  <si>
    <t>At the hearing the appellant's counsel requested withdrawal, stating the grievance had been addressed departmentally without placing any document on record. The Committee unanimously allowed withdrawal but imposed a cost of Rs. 500,000 to be deposited in B-PPRA's NBP account within 5 days. The appeal was dismissed as withdrawn.</t>
  </si>
  <si>
    <t>withdrawal; dismissed as withdrawn; cost Rs.500000; departmental redressal; Rule 56-A; Kuchlak</t>
  </si>
  <si>
    <t>PRC-054-2025_Muhammad_Akbar___Company.pdf.pdf</t>
  </si>
  <si>
    <t>BPPRA/Balochistan PRC. PDF title names Muhammad Akbar &amp; Company but the document names appellant M/s Khan Traders. Final hearing 09-12-2025; decided 05-01-2026. Cost of Rs. 500,000 imposed.</t>
  </si>
  <si>
    <t>PRC-00050</t>
  </si>
  <si>
    <t>55</t>
  </si>
  <si>
    <t>Muhammad Hasni Builders</t>
  </si>
  <si>
    <t>Secretary, CWPP&amp;H Department &amp; Others</t>
  </si>
  <si>
    <t>CWPP&amp;H Department, District Chaghi (Executive Engineer)</t>
  </si>
  <si>
    <t>Construction of Black Top Road from 33 KM Maskichah to Durbinchah Killi from N-40 to Maskichah Killi</t>
  </si>
  <si>
    <t>252610903043</t>
  </si>
  <si>
    <t>Chaghi</t>
  </si>
  <si>
    <t>Rule 56-A; Rules 29, 30 BPP Rules 2014</t>
  </si>
  <si>
    <t>Balochistan Public Procurement Rules, 2014</t>
  </si>
  <si>
    <t>Whether the appellant could lawfully be declared non-responsive on the ground that the bid security validity was not co-terminus with the bid validity period under Clause 15.2 of the bidding documents.</t>
  </si>
  <si>
    <t>The appellant, the lowest evaluated bidder, was declared non-responsive on the view that its bank-guarantee bid security was not valid for the full 90-day bid validity, invoking Clause 15.2. The Committee held that neither Rule 29 nor Rule 30 requires bid-security validity to be co-terminus with bid validity, that Clause 15.2's 28-day rule applied to insurance-company guarantees not bank guarantees, and that the agency still had over two months to conclude the award. The rejection was held unlawful and arbitrary, the CRC decision dated 16-12-2025 set aside, and re-evaluation ordered; the bid offered a saving of approximately Rs. 50 million.</t>
  </si>
  <si>
    <t>bid security; bank guarantee; bid validity; Rule 29; Rule 30; Clause 15.2; lowest evaluated bidder; black top road; Chaghi; CWPP&amp;H</t>
  </si>
  <si>
    <t>PRC-055-2025_Muhammad_Hasni_Builders.pdf</t>
  </si>
  <si>
    <t>Procuring agency CWPP&amp;H (Communication &amp; Works, Physical Planning &amp; Housing) mapped to Communication &amp; Works. Announced 31-12-2025. Members include Engr. Muhammad Ayub Nasir and Abdul Wahab Bulledi, Advocate. Estimated cost Rs. 1,104,154,000.</t>
  </si>
  <si>
    <t>PRC-00051</t>
  </si>
  <si>
    <t>59/2025</t>
  </si>
  <si>
    <t>M/S SK Durrani, Government Contractor (through Mr. Inayat Ullah)</t>
  </si>
  <si>
    <t>Assistant Director Local &amp; Rural Development Department, Killa Abdullah</t>
  </si>
  <si>
    <t>Bore with Solar in Killi Bakshu Arambi, District Killah Abdullah</t>
  </si>
  <si>
    <t>252608413163</t>
  </si>
  <si>
    <t>Regulation 16(2)</t>
  </si>
  <si>
    <t>Whether the appellant disqualification for unmarked attendance was lawful and whether the Procuring Agency maintained contradictory manual versus system-generated attendance records.</t>
  </si>
  <si>
    <t>The appellant withdrew the appeal unconditionally and the Committee permitted withdrawal under Regulation 16(2). The Committee held the Procuring Agency contradictory manual versus digital attendance records illegal, arbitrary and violative of transparency. The appeal was dismissed as withdrawn with costs of PKR 100,000 imposed on the appellant.</t>
  </si>
  <si>
    <t>withdrawal; attendance sheet; Local Government; solar bore; transparency; costs; disqualification</t>
  </si>
  <si>
    <t>65.pdf</t>
  </si>
  <si>
    <t>Heading OCR as PEC Appeal No 59/2025; BPPRA Balochistan PRC. Estimated budget PKR 10 million. Cost PKR 100,000.</t>
  </si>
  <si>
    <t>PRC-00052</t>
  </si>
  <si>
    <t>65/2025</t>
  </si>
  <si>
    <t>M/s Sher Shah &amp; Brothers (through Sher Shah S/o Ali Shah)</t>
  </si>
  <si>
    <t>Government of Balochistan (through Chief Secretary) &amp; Others</t>
  </si>
  <si>
    <t>Executive Engineer (Building), CW, PP&amp;H Department, District Zhob</t>
  </si>
  <si>
    <t>Construction of Conference Hall &amp; Boundary Wall Picket &amp; Office for Commissioner Office &amp; House, District Zhob</t>
  </si>
  <si>
    <t>PRQ No. 1923-15-10-2025</t>
  </si>
  <si>
    <t>252610894623</t>
  </si>
  <si>
    <t>Habib Ur Rehman Jamot (MD/Chairman PRC)</t>
  </si>
  <si>
    <t>Iftikhar Ahmed Sanjrani (Co-Opted Member)</t>
  </si>
  <si>
    <t>Rule 56-A of the BPPRA Rules, 2014; Section 5 of the Limitation Act</t>
  </si>
  <si>
    <t>Whether the appellant's technical disqualification (turnover-certificate discrepancy and similar-assignment variation) was lawful, and whether the appeal was filed within the 5-day limitation after the GRC/CRC decision.</t>
  </si>
  <si>
    <t>The Committee found the Procuring Agency's evaluation arbitrary and procedurally deficient: the turnover discrepancy (credit PKR 149,085,683 vs debit PKR 1,497,258,963) was admitted by the bank as its own error, and the similar-assignment variation (work order PKR 52.67m vs completion certificate PKR 53.180m) was unverified. However, the GRC/CRC decided 10-12-2025 and the appellant approached the PRC on 18-12-2025, beyond the 5-day limit. The appeal was dismissed as time-barred and not maintainable; the Procuring Agency, CRC and Secretary CW,PP&amp;H were advised to rectify procurement flaws.</t>
  </si>
  <si>
    <t>technical disqualification; turnover certificate; bank error; similar assignment; time-barred; limitation; Rule 56-A; CW PP&amp;H Zhob</t>
  </si>
  <si>
    <t>PRC-010-2026_Azam_Khan_&amp;_Company.pdf</t>
  </si>
  <si>
    <t>Filename says PRC-010-2026 but OCR states real appeal no. is PRC Appeal No. 65/2025. TSE appears as 252610894623 (heading) and 252610894603 (body). Other members: Engr. Junaid Shah; Abdul Wahab Bulledi Advocate. Final hearing 29-12-2025.</t>
  </si>
  <si>
    <t>PRC-00053</t>
  </si>
  <si>
    <t>75/2025</t>
  </si>
  <si>
    <t>M/s Khair Kakar &amp; Brothers (through Rehmatullah S/o Ghulam Muhammad)</t>
  </si>
  <si>
    <t>Executive Engineer (B&amp;R), CW PP&amp;H Department, Killa Saifullah</t>
  </si>
  <si>
    <t>Construction of Road Kachoghi Road, Killa Saifullah</t>
  </si>
  <si>
    <t>252609840063</t>
  </si>
  <si>
    <t>Rule 56-A(1) of the BPPRA Rules, 2014; Rule 56; Section 5 of the Limitation Act</t>
  </si>
  <si>
    <t>Whether the appeal before the PRC was within the 5-day limitation following the CRC decision, and whether absence of a condonation-of-delay application barred maintainability.</t>
  </si>
  <si>
    <t>The appellant was declared non-eligible at technical evaluation (one work order repeated twice; other was routine maintenance). The CRC rejected the grievance on 16-12-2025 on limitation grounds. The appellant approached the PRC on 29-12-2025, a lapse of 13 days exceeding the 5-day limit under Rule 56-A(1). No Section 5 Limitation Act condonation application was filed. The appeal was held time-barred and not maintainable and dismissed.</t>
  </si>
  <si>
    <t>time-barred; limitation; Rule 56-A; condonation of delay; similar assignment; technical evaluation; CW PP&amp;H Killa Saifullah</t>
  </si>
  <si>
    <t>PRC-011-2026_Mehboob_Construction_Company.pdf</t>
  </si>
  <si>
    <t>CRC decision ref G-13(A)/CELZZ/2152-56/E dated 16-12-2025. Bids opened 22-09-2025; evaluation uploaded 24-11-2025; 18 other bidders.</t>
  </si>
  <si>
    <t>PRC-00054</t>
  </si>
  <si>
    <t>76/2025</t>
  </si>
  <si>
    <t>M/s Al Watan Associates (Pvt) Limited</t>
  </si>
  <si>
    <t>Secretary, Planning &amp; Development Department &amp; Others</t>
  </si>
  <si>
    <t>CMDP, Dera Bugti, Planning &amp; Development Department</t>
  </si>
  <si>
    <t>Dera Bugti</t>
  </si>
  <si>
    <t>Mubashir Ali Khan (Procurement Specialist Goods &amp; Services)</t>
  </si>
  <si>
    <t>Junaid Shah (Procurement Specialist Works)</t>
  </si>
  <si>
    <t>Challenge to the technical and financial evaluation of the tender; the Committee shared the Information Security Audit Firm report and BPPRA's reply to the CRC with the parties.</t>
  </si>
  <si>
    <t>The Committee directed the MIS Section to show the technical-marking and financial evaluation report (including the respondent's BOQ attachment) to both parties. After witnessing the evaluation, the appellant expressed full satisfaction with the technical and financial evaluation and requested withdrawal. The request was allowed, the earlier restraining order dated 9 January 2026 recalled, and the appeal dismissed as withdrawn.</t>
  </si>
  <si>
    <t>withdrawal; technical evaluation; financial evaluation; information security audit; ePPS; restraining order; CMDP Dera Bugti</t>
  </si>
  <si>
    <t>PRC-012-2026_Baloch_Construction_Company.pdf</t>
  </si>
  <si>
    <t>Co-Opted Member Iftikhar Ahmed Sanjrani; Private Member Syed Muheebullah Advocate. Appellant counsel Muhammad Kashif; private respondent counsel Akbar Shah.</t>
  </si>
  <si>
    <t>PRC-00055</t>
  </si>
  <si>
    <t>PRC Appeal (SK Durrani series, 2025)</t>
  </si>
  <si>
    <t>Bore with Solar in Killi Balla Arambi, District Killah Abdullah</t>
  </si>
  <si>
    <t>252608809903</t>
  </si>
  <si>
    <t>Appellant M/S SK Durrani challenged disqualification for unmarked attendance and alleged a fabricated 'ghost' attendance sheet for the Bore with Solar tender at Killi Balla Arambi. The Committee found glaring discrepancies between manual and system records, declaring the practice illegal and arbitrary. Counsel sought unconditional withdrawal under Regulation 16(2), permitted; appeal dismissed as withdrawn with costs of PKR 100,000 on the appellant.</t>
  </si>
  <si>
    <t>Companion appeal 21/2025 (SK Durrani)</t>
  </si>
  <si>
    <t>64.pdf</t>
  </si>
  <si>
    <t>OCR title 64. Appeal number not clearly legible on header (OCR garbled); part of SK Durrani series. LGRD mapped to Local Government.</t>
  </si>
  <si>
    <t>PRC-00056</t>
  </si>
  <si>
    <t>1</t>
  </si>
  <si>
    <t>M/s Sher Shah &amp; Brothers, Government Contractor (Rep. Sher Shah S/o Haji Ali Shah), Zhob</t>
  </si>
  <si>
    <t>Government of Balochistan through Chief Secretary &amp; Others</t>
  </si>
  <si>
    <t>Executive Engineer (Buildings), C&amp;W/CWPP&amp;H Department, District Zhob</t>
  </si>
  <si>
    <t>Construction of BHU Haji Zareef Boundary Wall, Killi Wala Akram, District Zhob</t>
  </si>
  <si>
    <t>TSE No. 252611911853</t>
  </si>
  <si>
    <t>252611911853</t>
  </si>
  <si>
    <t>Rule 56-A; Rule 35(1) of Balochistan Public Procurement Rules 2014</t>
  </si>
  <si>
    <t>Whether the appellant was lawfully disqualified for failing to submit three completion certificates of similar assignments, when the bidding documents required three 'similar assignments' (not specifically three completion certificates).</t>
  </si>
  <si>
    <t>The Committee found the agency introduced a condition not prescribed in the criteria by demanding three completion certificates rather than three similar assignments, violating Rule 35(1) which binds the agency to the notified criteria absent a corrigendum. The procurement suffered fundamental legal defects. The agency was directed to re-evaluate the appellant's technical bid strictly per the BPP Rules; any payment to Respondent No. 6 during pendency was at the agency's own risk; a compliance report was required within 15 days. The appeal was disposed of accordingly (effectively allowed).</t>
  </si>
  <si>
    <t>similar assignment; completion certificate; added condition; Rule 35(1); re-evaluation; compliance report; boundary wall; Zhob</t>
  </si>
  <si>
    <t>PRC-013-2026_Syed_Ahmad_Shah.pdf.pdf</t>
  </si>
  <si>
    <t>BPPRA/Balochistan PRC. PDF title says PRC-013-2026 / Syed Ahmad Shah but the decision is Appeal No. 01/2026, appellant M/s Sher Shah &amp; Brothers. Coopted Member Iftikhar Ahmed Sanjrani; Private Member Syed Muheebullah. Estimated cost PKR 9,899,146. CRC rejected grievance 01-01-2026.</t>
  </si>
  <si>
    <t>PRC-00057</t>
  </si>
  <si>
    <t>12</t>
  </si>
  <si>
    <t>Municipal Committee, Zhob</t>
  </si>
  <si>
    <t>Procurement of Vehicles and Machinery for Municipal Committee District Zhob</t>
  </si>
  <si>
    <t>NIT advertised 17-12-2025; TSE No. 252611911671</t>
  </si>
  <si>
    <t>252611911671</t>
  </si>
  <si>
    <t>Rule 56-A; Rule 32; Rule 35(1) of Balochistan Public Procurement Rules 2014</t>
  </si>
  <si>
    <t>BPPRA guidelines on common non-compliance (restrictive documentation)</t>
  </si>
  <si>
    <t>Whether disqualification for non-submission of SECP registration and ISO certification was lawful, and whether the appellant could challenge those eligibility criteria only after rejection.</t>
  </si>
  <si>
    <t>The Committee held that SECP registration and ISO certification were expressly stated mandatory eligibility criteria, binding under Rule 35(1); the appellant should have challenged any restrictive criterion under Rule 32 at least five days before bid opening rather than as an afterthought after rejection. Non-submission of ISO certification alone was a separate and sufficient ground, incapable of cure after bid opening. The CRC's inaction did not vitiate an otherwise lawful decision. The appeal was dismissed.</t>
  </si>
  <si>
    <t>SECP registration; ISO certification; mandatory eligibility; Rule 32 pre-bid challenge; afterthought; non-responsive; dismissed; Zhob</t>
  </si>
  <si>
    <t>PRC-014-2026_Muhammad_Naseem___Co.pdf.pdf</t>
  </si>
  <si>
    <t>BPPRA/Balochistan PRC. PDF title says PRC-014-2026 / Muhammad Naseem &amp; Co but the decision is Appeal No. 12/2026, appellant M/s Daavi Construction Company. Respondents did not appear. Estimated cost Rs. 15,000,000. Technical Member Engr. Muhammad Ayub Nasir; Private Member Abdul Hayee.</t>
  </si>
  <si>
    <t>PRC-00058</t>
  </si>
  <si>
    <t>13</t>
  </si>
  <si>
    <t>Municipal Committee, Loralai</t>
  </si>
  <si>
    <t>Procurement of Lawn Mover Attachment, Municipal Committee Loralai</t>
  </si>
  <si>
    <t>TSE No. 252611916101</t>
  </si>
  <si>
    <t>252611916101</t>
  </si>
  <si>
    <t>Loralai</t>
  </si>
  <si>
    <t>Rule 56-A; Rule 56; Rule 23; Rule 35(1) of Balochistan Public Procurement Rules 2014</t>
  </si>
  <si>
    <t>Whether the appellant was lawfully declared non-responsive for 'submission of tempered documents' (forged completion/experience certificates), and whether allegations of misconduct justified disqualification.</t>
  </si>
  <si>
    <t>Verification from Municipal Committee Shahragh confirmed the appellant's completion certificates were genuine, original and valid, fully rebutting the 'tempered documents' ground; the agency could not add dealership/letter requirements beyond the bidding documents, and misconduct allegations belong to Rule 23 blacklisting, not technical rejection. The appeal was ALLOWED; the Technical Evaluation Report dated 26-12-2025 set aside and the agency directed to re-evaluate within 3 days. Prayers for blacklisting, criminal proceedings and travel costs were rejected; the Secretary LG&amp;RD may inquire into the hasty award of contract during pendency.</t>
  </si>
  <si>
    <t>tempered documents; forgery allegation; completion certificate verification; Shahragh; Rule 23 blacklisting; set aside; re-evaluation; Loralai</t>
  </si>
  <si>
    <t>PRC-015-2026_Haji_Khan_Muhammad___Co.pdf.pdf</t>
  </si>
  <si>
    <t>BPPRA/Balochistan PRC. PDF title says PRC-015-2026 / Haji Khan Muhammad &amp; Co but the decision is Appeal No. 13/2026, appellant M/s Daavi Construction Company. Technical Member Engr. Muhammad Ayub Nasir; Private Member Abdul Hayee. Hearings delayed by provincial law-and-order situation.</t>
  </si>
  <si>
    <t>PRC-00059</t>
  </si>
  <si>
    <t>14</t>
  </si>
  <si>
    <t>M/S Daavi Construction Company</t>
  </si>
  <si>
    <t>Procurement of Road Lane Marking Machine</t>
  </si>
  <si>
    <t>252611916111</t>
  </si>
  <si>
    <t>Rule 56-A; Rule 56; Rule 23 BPP Rules 2014</t>
  </si>
  <si>
    <t>Whether the appellant's bid was lawfully rejected for 'tempered documents' relating to experience and similar-project completion certificates where machinery had already been supplied.</t>
  </si>
  <si>
    <t>The Committee found the tampering allegation fully rebutted by verification from Municipal Committee Shahragh confirming the completion certificates as genuine, and noted improper fragmentation into five tenders and award/supply during pendency of grievance. The Technical Evaluation Report dated 26-12-2025 was set aside; the contract was suspended only to the extent of the remaining three unsupplied machinery items while supplied items were to be adjusted, and re-evaluation was ordered within 3 days. Blacklisting, criminal and travel-cost prayers were rejected; an inquiry by the Secretary LGRD was suggested.</t>
  </si>
  <si>
    <t>tempered documents; road lane marking machine; technical evaluation; completion certificate verification; tender fragmentation; partial contract suspension; Rule 56-A; Municipal Committee Loralai</t>
  </si>
  <si>
    <t>PRC Appeals 15/2026, 16/2026, 17/2026 (same appellant)</t>
  </si>
  <si>
    <t>PRC-014-2026 (Daavi Construction - Road Lane Marking Machine).pdf</t>
  </si>
  <si>
    <t>OCR header title corrupted (PRC_1Uq73); document text confirms PRC Appeal No. 14/2026, Daavi Construction, Road Lane Marking Machine. Work orders already issued and two items received per respondent. Respondents include Chief Officer MC Loralai and Chairman GRC, Balochistan Local Government Board.</t>
  </si>
  <si>
    <t>PRC-00060</t>
  </si>
  <si>
    <t>15</t>
  </si>
  <si>
    <t>Procurement of Suction Machine</t>
  </si>
  <si>
    <t>252611916081</t>
  </si>
  <si>
    <t>Whether the appellant was lawfully declared non-responsive for 'tempered documents' concerning experience and similar-project completion certificates.</t>
  </si>
  <si>
    <t>The Committee found the tampering allegation rebutted by verification from Municipal Committee Shahragh confirming the completion certificates as genuine, and noted improper fragmentation into five tenders and award during pendency of grievance. The Technical Evaluation Report dated 26-12-2025 was set aside and re-evaluation ordered within 3 days; it additionally suggested the Secretary LGRD hold an inquiry into officials' conduct. Blacklisting, criminal and travel-cost prayers were rejected.</t>
  </si>
  <si>
    <t>tempered documents; suction machine; technical evaluation; completion certificate; verification; tender fragmentation; Rule 56-A; inquiry</t>
  </si>
  <si>
    <t>PRC Appeals 14/2026, 16/2026, 17/2026 (same appellant)</t>
  </si>
  <si>
    <t>PRC-017-2026_Mian_Abdul_Qadir_&amp;_Co.pdf</t>
  </si>
  <si>
    <t>Document text states PRC Appeal No. 15/2026 though file title references PRC-017-2026 and Mian Abdul Qadir; recorded per OCR text. Respondents include Chief Officer MC Loralai and Chairman GRC, Balochistan Local Government Board.</t>
  </si>
  <si>
    <t>PRC-00061</t>
  </si>
  <si>
    <t>16</t>
  </si>
  <si>
    <t>Procurement of Backhoe Attachment</t>
  </si>
  <si>
    <t>252611916091</t>
  </si>
  <si>
    <t>Whether the appellant's bid was lawfully rejected on the sole ground of 'tempered documents' regarding experience and similar-project completion certificates.</t>
  </si>
  <si>
    <t>The Committee held the tampering allegation fully rebutted by verification from Municipal Committee Shahragh confirming the completion certificates as genuine. It noted improper fragmentation of the procurement into five tenders to avoid the Rs.5 million e-bidding threshold and award of contract during pendency of grievance. The Technical Evaluation Report dated 26-12-2025 was set aside and re-evaluation ordered within 3 days; blacklisting, criminal and travel-cost prayers were rejected.</t>
  </si>
  <si>
    <t>tempered documents; backhoe attachment; technical evaluation; completion certificate; verification; tender fragmentation; Rule 56-A; Municipal Committee Loralai</t>
  </si>
  <si>
    <t>PRC Appeals 14/2026, 15/2026, 17/2026 (same appellant)</t>
  </si>
  <si>
    <t>PRC-016-2026 (Daavi Construction - Backhoe Attachment).pdf</t>
  </si>
  <si>
    <t>Title in titles.json was blank; PDF title set descriptively. Respondents include Chief Officer MC Loralai and Chairman GRC, Balochistan Local Government Board.</t>
  </si>
  <si>
    <t>PRC-00062</t>
  </si>
  <si>
    <t>17</t>
  </si>
  <si>
    <t>Procurement of Multi-purpose Rickshaw Washer</t>
  </si>
  <si>
    <t>252611916121</t>
  </si>
  <si>
    <t>Whether the appellant's bid was lawfully rejected on the sole ground of 'tempered documents' relating to experience and similar-project completion certificates.</t>
  </si>
  <si>
    <t>The Committee found the alleged document tampering fully rebutted by verification from Municipal Committee Shahragh confirming the completion certificates were genuine. The procurement was improperly fragmented into five tenders to avoid the Rs.5 million e-bidding threshold, and the contract was awarded while the grievance was pending. The Technical Evaluation Report dated 26-12-2025 was set aside and re-evaluation ordered within 3 days; blacklisting, criminal and travel-cost prayers were rejected.</t>
  </si>
  <si>
    <t>tempered documents; technical evaluation; completion certificate; verification; tender fragmentation; Municipal Committee Loralai; Rule 56-A; blacklisting</t>
  </si>
  <si>
    <t>PRC Appeals 14/2026, 15/2026, 16/2026 (same appellant)</t>
  </si>
  <si>
    <t>PRC-019-2026_Chandio_Construction_Company.pdf</t>
  </si>
  <si>
    <t>Document text states PRC Appeal No. 17/2026 though file title references PRC-019-2026 and Chandio Construction; recorded per OCR text. Respondents include Chief Officer MC Loralai and Chairman GRC, Balochistan Local Government Board.</t>
  </si>
  <si>
    <t>PRC-00063</t>
  </si>
  <si>
    <t>19</t>
  </si>
  <si>
    <t>M/s Chandio Construction Company</t>
  </si>
  <si>
    <t>Secretary Energy Department, Government of Balochistan &amp; Others</t>
  </si>
  <si>
    <t>Director General South (Procuring Agency), Energy Department, Usta Muhammad</t>
  </si>
  <si>
    <t>Provision and Installation of Solar Street Lights at Firdous Colony, M/C Usta Muhammad</t>
  </si>
  <si>
    <t>TSE No. 252609875643</t>
  </si>
  <si>
    <t>252609875643</t>
  </si>
  <si>
    <t>Jaffarabad</t>
  </si>
  <si>
    <t>Energy</t>
  </si>
  <si>
    <t>Rule 56-A; Rule 56; Rule 32; Rule 33(6)</t>
  </si>
  <si>
    <t>BPPRA guidelines dated 28 August 2025</t>
  </si>
  <si>
    <t>Whether the appellant approached the Procuring Agency under Rule 32 to challenge the allegedly restrictive 100% work-order requirement before bid opening, and whether the appellant possessed the requisite similar-nature work experience to be declared technically responsive.</t>
  </si>
  <si>
    <t>Appellant was declared non-responsive for lack of similar-nature work experience and failed before the Committee to produce completion certificates substantiating its claimed experience. The Committee held that the appellant did not raise a pre-bid objection under Rule 32 (an impermissible afterthought) and that the CRC had in fact decided the complaint on 13.01.2026 against the appellant. No procedural illegality, rule violation or mala fide was established. Appeal DISMISSED; impugned Technical Evaluation Report upheld and respondents at liberty to proceed with the award. No monetary cost imposed.</t>
  </si>
  <si>
    <t>solar street lights; Energy Department; Usta Muhammad; Chandio Construction; similar experience; Rule 32 pre-bid objection; attendance sheet; non-responsive</t>
  </si>
  <si>
    <t>PRC-020-2026_Muhammad_Ismail_&amp;_Co.pdf</t>
  </si>
  <si>
    <t>DISCREPANCY: filename is PRC-020-2026 Muhammad Ismail &amp; Co., but OCR body shows PRC Appeal No. 19/2026 with appellant M/s Chandio Construction Company; data taken from OCR body per instructions. District inferred as Jaffarabad/Usta Muhammad from project location.</t>
  </si>
  <si>
    <t>PRC-00064</t>
  </si>
  <si>
    <t>20</t>
  </si>
  <si>
    <t>M/s Maqsood Ahmed, Government Contractor, Usta Muhammad</t>
  </si>
  <si>
    <t>Government of Balochistan through the Chief Secretary &amp; Others</t>
  </si>
  <si>
    <t>Director General South, Energy Department, Government of Balochistan</t>
  </si>
  <si>
    <t>Provision and Installation of Solar Street Light at Hussainabad and Ghari Khairo Road and others, M/C Usta Muhammad</t>
  </si>
  <si>
    <t>TSE No. 252609875813</t>
  </si>
  <si>
    <t>252609875813</t>
  </si>
  <si>
    <t>Usta Muhammad</t>
  </si>
  <si>
    <t>Syed Muheebullah (Private Member)</t>
  </si>
  <si>
    <t>Competition Act 2010 (referral for possible cartelization)</t>
  </si>
  <si>
    <t>Rule 56-A; Rule 29; Rule 33(6); Rule 35(1); Rule 43 of Balochistan Public Procurement Rules 2014</t>
  </si>
  <si>
    <t>BPPRA Guidelines on Common Areas of Non-Compliance (Guideline 4A-vi, 4A-vii, 4A-xiv)</t>
  </si>
  <si>
    <t>BPPRA letter dated 29-09-2025 conveying observations on the 80% passing mark and restrictive evaluation criteria</t>
  </si>
  <si>
    <t>Whether the appellant had the requisite similar-nature experience, and whether procedural irregularities (no attendance sheet, ignored BPPRA observations, repeated criteria) entitled him to relief.</t>
  </si>
  <si>
    <t>The Committee held the appellant failed to establish his own eligibility (only one work order of PKR 0.9M, lacking three similar assignments), which was fatal to the appeal, so it was dismissed and the awarded contract left undisturbed. However it noted serious procedural irregularities (no Rule 33(6) attendance sheet, disregard of BPPRA observations and guidelines, possible collusion) and directed the Secretary, Energy Department to hold an inquiry within 15 days, with cartelization evidence potentially referable to the Competition Commission of Pakistan.</t>
  </si>
  <si>
    <t>solar street light; similar experience; attendance sheet Rule 33(6); BPPRA guidelines; collusion; inquiry; Competition Commission; Energy Department</t>
  </si>
  <si>
    <t>Possible referral to Competition Commission of Pakistan under Competition Act 2010</t>
  </si>
  <si>
    <t>PRC-021-2026_Muhammad_Ashraf___Co.pdf.pdf</t>
  </si>
  <si>
    <t>BPPRA/Balochistan PRC. PDF title says PRC-021-2026 / Muhammad Ashraf &amp; Co but the decision text states Appeal No. 20/2026 and appellant M/s Maqsood Ahmed. Estimated cost PKR 10,000,000. CRC decision 13-01-2026.</t>
  </si>
  <si>
    <t>PRC-00065</t>
  </si>
  <si>
    <t>21</t>
  </si>
  <si>
    <t>M/s Maqsood Ahmed Government Contractor</t>
  </si>
  <si>
    <t>Provision and Installation of Solar Street Light at Buledi Bypass, M/C Usta Muhammad</t>
  </si>
  <si>
    <t>TSE No. 252609880023</t>
  </si>
  <si>
    <t>252609880023</t>
  </si>
  <si>
    <t>Competition Act, 2010</t>
  </si>
  <si>
    <t>Rule 56-A; Rule 29; Rule 33(6); Rule 43</t>
  </si>
  <si>
    <t>BPPRA Guidelines on Common Areas of Non-Compliance (4A-iii, 4A-vi, 4A-xiv); BPPRA letter dated 29-09-2025</t>
  </si>
  <si>
    <t>Whether the appellant possessed requisite similar-nature work experience, and whether procedural irregularities (no attendance sheet under Rule 33(6), restrictive 100%/80% criteria contrary to BPPRA guidelines, possible bidder collusion, improperly constituted CRC) entitle the appellant to relief.</t>
  </si>
  <si>
    <t>Appellant declared non-responsive for 'No Experience in similar nature of work' (only one work order of PKR 0.9 million unrelated to solar lights) and failed before the Committee to prove experience, so the appeal failed on merits. The Committee recorded the same procedural irregularities as the related Energy Department solar tenders (missing attendance sheet, restrictive criteria, prima facie collusive bidding patterns) and directed the Secretary, Energy Department to hold an inquiry within 15 days with possible referral to the Competition Commission. Appeal DISMISSED; contract to Respondent No.4 left undisturbed. No monetary cost imposed.</t>
  </si>
  <si>
    <t>solar street lights; Energy Department; Usta Muhammad; Buledi Bypass; similar experience; attendance sheet Rule 33(6); collusion; non-responsive</t>
  </si>
  <si>
    <t>PRC Appeal No. 22/2026; PRC Appeal No. 23/2026 (related Energy Dept solar tenders)</t>
  </si>
  <si>
    <t>PRC-022-2026_Maqsood_Ahmed_Government_Contractor..pdf</t>
  </si>
  <si>
    <t>DISCREPANCY: filename is PRC-022-2026 Maqsood Ahmed Government Contractor, but OCR body shows PRC Appeal No. 21/2026 (also Maqsood Ahmed Government Contractor); appeal number taken from OCR body. District inferred as Jaffarabad/Usta Muhammad from project location.</t>
  </si>
  <si>
    <t>PRC-00066</t>
  </si>
  <si>
    <t>22</t>
  </si>
  <si>
    <t>Provision and Installation of Solar Street Light at THQ Hospital Road and others, M/C Usta Muhammad</t>
  </si>
  <si>
    <t>TSE No. 252609875343</t>
  </si>
  <si>
    <t>252609875343</t>
  </si>
  <si>
    <t>Appellant declared non-responsive for 'No Experience in similar nature of work' (submitted only one work order of PKR 0.9 million unrelated to solar lights) and failed before the Committee to prove experience, so the appeal failed on merits. The Committee recorded the same procedural irregularities as the related Energy Department solar tenders (missing attendance sheet, restrictive criteria, prima facie collusive patterns) and directed the Secretary, Energy Department to hold an inquiry within 15 days with possible referral to the Competition Commission. Appeal DISMISSED; contract to Respondent No.4 left undisturbed. No monetary cost imposed.</t>
  </si>
  <si>
    <t>solar street lights; Energy Department; Usta Muhammad; similar experience; attendance sheet Rule 33(6); collusion; Competition Commission; non-responsive</t>
  </si>
  <si>
    <t>PRC Appeal No. 21/2026; PRC Appeal No. 23/2026 (related Energy Dept solar tenders)</t>
  </si>
  <si>
    <t>PRC-023-2026_Ali_Muhammad_Mastoi.pdf</t>
  </si>
  <si>
    <t>DISCREPANCY: filename is PRC-023-2026 Ali Muhammad Mastoi, but OCR body shows PRC Appeal No. 22/2026 with appellant M/s Maqsood Ahmed Government Contractor; data taken from OCR body per instructions. District inferred as Jaffarabad/Usta Muhammad from project location.</t>
  </si>
  <si>
    <t>PRC-00067</t>
  </si>
  <si>
    <t>23</t>
  </si>
  <si>
    <t>M/s Ali Muhammad Mastoi</t>
  </si>
  <si>
    <t>Provision and Installation of Solar Street Light at Firdous Colony, M/C Usta Muhammad</t>
  </si>
  <si>
    <t>TSE No. 252609875803</t>
  </si>
  <si>
    <t>252609875803</t>
  </si>
  <si>
    <t>Rule 56-A; Rule 29; Rule 33(6); Rule 43; Rule 35; Rule 36</t>
  </si>
  <si>
    <t>BPPRA Guidelines on Common Areas of Non-Compliance (Guidelines 4A-iii, 4A-vi, 4A-xiv); BPPRA letter dated 29-09-2025</t>
  </si>
  <si>
    <t>Appellant was declared non-responsive for 'No Experience in similar nature of work' and failed before the Committee to produce work orders proving experience, so the appeal failed on merits. However the Committee recorded serious procedural irregularities (missing attendance sheet, restrictive criteria ignoring BPPRA's observations, prima facie collusive bidding patterns with identical bids of Rs. 9,769,592.49) and directed the Secretary, Energy Department to hold an inquiry within 15 days, with possible referral of cartelization evidence to the Competition Commission of Pakistan. Appeal DISMISSED; contract to Respondent No.4 left undisturbed. No monetary cost imposed.</t>
  </si>
  <si>
    <t>solar street lights; Energy Department; Usta Muhammad; similar experience; attendance sheet Rule 33(6); collusion; Competition Commission; restrictive criteria</t>
  </si>
  <si>
    <t>PRC Appeal No. 21/2026; PRC Appeal No. 22/2026 (related Energy Dept solar tenders)</t>
  </si>
  <si>
    <t>PRC-024-2026_Bismillah_Construction_Company.pdf</t>
  </si>
  <si>
    <t>DISCREPANCY: filename is PRC-024-2026 Bismillah Construction Company, but OCR body shows PRC Appeal No. 23/2026 with appellant M/s Ali Muhammad Mastoi; data taken from OCR body per instructions. District inferred as Jaffarabad/Usta Muhammad from appellant address and project location.</t>
  </si>
  <si>
    <t>PRC-00068</t>
  </si>
  <si>
    <t>24</t>
  </si>
  <si>
    <t>M/s Haji Agha Muhammad Khan &amp; Sons</t>
  </si>
  <si>
    <t>Government of Balochistan, Public Health Engineering Department &amp; Others</t>
  </si>
  <si>
    <t>Public Health Engineering Department, District Pishin (Executive Engineer)</t>
  </si>
  <si>
    <t>Construction &amp; D/D of Bore, S/I of Solar System &amp; Laying of Pipe for WSS Killi Tahir Bostan Chowkal Manzaki Pishin (PSDP No. 3943(R&amp;UDP)2025-26)</t>
  </si>
  <si>
    <t>252612918703</t>
  </si>
  <si>
    <t>Rule 56-A; Rule 56 BPP Rules 2014</t>
  </si>
  <si>
    <t>Whether the appellant was registered with B-PPRA at the time of bidding such that its disqualification for non-registration and failure to record attendance on EPPS was lawful.</t>
  </si>
  <si>
    <t>The Committee found the procuring agency conducted manual bidding where the appellant marked attendance, but when uploading to EPPS it entered the wrong NTN (3289128 instead of 32891288), causing a dashboard error. B-PPRA MIS confirmed the appellant was duly registered as of 04-04-2023, so the disqualification for non-registration lacked due diligence. The appeal was accepted, evaluation of TSE No.252612918703 declared void and re-evaluation ordered, with any award suspended pending fresh evaluation; a compliance report within 15 days was directed. Estimated cost PKR 13,399,000.</t>
  </si>
  <si>
    <t>B-PPRA registration; NTN error; EPPS attendance; manual bidding; non-responsive; re-evaluation; Public Health Engineering; Pishin</t>
  </si>
  <si>
    <t>PRC-025-2026_Muhammad_Hashim_&amp;_Co.pdf</t>
  </si>
  <si>
    <t>Document text states PRC Appeal No. 24/2026, appellant Haji Agha Muhammad Khan &amp; Sons, though file title references PRC-025-2026 and Muhammad Hashim &amp; Co; recorded per OCR text. Decision date approximate (Feb 2026); delay due to law &amp; order on 31-01-2026. Private members: Iftikhar Ahmed Mir, Syed Muheebullah.</t>
  </si>
  <si>
    <t>PRC-00069</t>
  </si>
  <si>
    <t>25</t>
  </si>
  <si>
    <t>M/s Bolan Services &amp; Consultants SMC (Pvt.) Ltd. &amp; JV Partner M/s Qingdao Lawada Yacht</t>
  </si>
  <si>
    <t>Secretary, Fisheries &amp; Coastal Development Department &amp; Others</t>
  </si>
  <si>
    <t>Fisheries &amp; Coastal Development Department, Government of Balochistan</t>
  </si>
  <si>
    <t>Procurement of 02 Aluminum Boats (Marine Surveillance &amp; Enforcement Capacity Enhancement Program)</t>
  </si>
  <si>
    <t>252610895171</t>
  </si>
  <si>
    <t>Rule 56-A; Rules 4, 35, 38, 39, 41, 43, 48 BPP Rules 2014</t>
  </si>
  <si>
    <t>Whether a rule-compliant procurement process won by the appellant could be invalidated and re-tendered based on speculative administrative apprehensions unrelated to process integrity.</t>
  </si>
  <si>
    <t>The appellant secured the highest combined QCBS score (95.13) and first rank, but the Procurement Committee recommended re-tendering on vague grounds of anticipated disputes; the GRC found no rule violation. The Committee held that the Rules permit cancellation/re-issuance only on specific statutory grounds (Rules 38/39), not prudential apprehensions, and that the appellant had a legitimate expectation. The appeal was allowed and the re-tendering recommendation declared devoid of legal merit; as the PRC cannot direct award, the matter was remanded to the administrative department. Approved budget PKR 1,028,000,000.</t>
  </si>
  <si>
    <t>QCBS; re-tendering recommendation; legitimate expectation; aluminum boats; Fisheries; Rule 38; Rule 39; remand</t>
  </si>
  <si>
    <t>PRC-026-2026_Karachi_Shipyard_&amp;_Engineering_Works_Ltd..pdf</t>
  </si>
  <si>
    <t>Document text states PRC Appeal No. 25/2026 though file title references PRC-026-2026 and Karachi Shipyard; recorded per OCR text. Outcome allowed but matter remanded to administrative department (no award directed). Engr. Muhammad Ayub Nasir (technical) and Abdul Hayee Advocate (private) also on panel.</t>
  </si>
  <si>
    <t>PRC-00070</t>
  </si>
  <si>
    <t>26</t>
  </si>
  <si>
    <t>M/s Karachi Shipyard &amp; Engineering Works Ltd.</t>
  </si>
  <si>
    <t>Government of Balochistan (Secretary, Fisheries &amp; Coastal Development Department) &amp; Others</t>
  </si>
  <si>
    <t>Director General Fisheries, Fisheries &amp; Coastal Development Department, Government of Balochistan</t>
  </si>
  <si>
    <t>Procurement of 02 x Fast Response / Patrolling Boats</t>
  </si>
  <si>
    <t>TSE-252610895171</t>
  </si>
  <si>
    <t>Rule 56-A; Rule 36; Rule 35; Rule 56</t>
  </si>
  <si>
    <t>Whether the QCBS technical marks deducted for Boat Design &amp; Engineering, Production Capabilities, Compliance &amp; Delivery, innovation, HR/staffing, delivery schedule and MMD yard registration were applied rationally, and whether a state-owned shipyard exempt from MMD registration could rely on an exemption letter procured after bid opening (Rule 36).</t>
  </si>
  <si>
    <t>Appellant, the lowest financial bidder, ranked second under QCBS (90.00 vs 95.13) and contested mark deductions in several technical sub-factors. The Committee found the evaluators recorded substantive reasons (lack of demonstrated innovation, no HR/salary slips, no clear delivery timelines, missing MMD registration) and that the MMD exemption letter, procured after bid opening, could not be considered under Rule 36/35; it also noted one factually incorrect evaluator observation. OCR text is incomplete (ends at page 6 of 8) and the final operative order/outcome is NOT present.</t>
  </si>
  <si>
    <t>QCBS; patrolling boats; Karachi Shipyard; MMD registration; technical marks; Rule 36 post-opening modification; Fisheries; state-owned enterprise</t>
  </si>
  <si>
    <t>PRC-027-2026_Mian_Abdul_Hameed_&amp;_Co..pdf</t>
  </si>
  <si>
    <t>DISCREPANCY: filename is PRC-027-2026 Mian Abdul Hameed &amp; Co., but OCR body shows PRC Appeal No. 26/2026 with appellant M/s Karachi Shipyard &amp; Engineering Works Ltd; data taken from OCR body. OCR text is truncated at 'PRC Appeal No. 26/2026 ... 6 of 8' and ends mid-findings; final outcome/order NOT present, so outcome left blank. Department is Fisheries &amp; Coastal Development (not in standard list); mapped to Other. Outcome recovered from later pages on re-OCR.</t>
  </si>
  <si>
    <t>PRC-00071</t>
  </si>
  <si>
    <t>27</t>
  </si>
  <si>
    <t>M/s Leading Light Pakistan Traders</t>
  </si>
  <si>
    <t>Secretary, Local Government &amp; Rural Development Department, Government of Balochistan &amp; Others</t>
  </si>
  <si>
    <t>Chief Officer, Municipal Corporation Pishin, Local Government &amp; Rural Development Department</t>
  </si>
  <si>
    <t>Provision and Fixing of Solar Street Lights (Municipal Corporation Pishin)</t>
  </si>
  <si>
    <t>PRQ No. 271 dated 18-09-2025</t>
  </si>
  <si>
    <t>TSE No. 252609859983</t>
  </si>
  <si>
    <t>2026-02</t>
  </si>
  <si>
    <t>Rule 56-A; Rule 4; Rule 34; Rule 56</t>
  </si>
  <si>
    <t>Whether the appellant met the similar-work-experience eligibility, whether disqualification on unsigned/unstamped documents and missing audit reports was lawful given vague criteria, whether the complaint before the GRC was time-barred, and whether the bidding process suffered material irregularities.</t>
  </si>
  <si>
    <t>Appellant (16 of 19 bidders rejected) was disqualified for lack of similar experience, unsigned/unstamped documents and missing three-year audit reports. The Committee criticised the process for ambiguous 'similar nature' criteria (Rule 34), inconsistent/selective enforcement, arbitrary CRC limitation rejection, and a single NIT covering 36 TSEs, but found the appellant itself failed to submit three similar assignments and irrelevant works in its brochure. Appeal DISMISSED on the ground the appellant failed to provide three similar assignments. No cost imposed.</t>
  </si>
  <si>
    <t>Municipal Corporation Pishin; solar street lights; similar experience; ambiguous criteria; limitation; 36 TSEs; audit reports; dismissed</t>
  </si>
  <si>
    <t>DISCREPANCY: filename is PRC-027-2026 Mian Abdul Hameed &amp; Co., but the OCR body shows PRC Appeal No. 27/2026 with appellant M/s Leading Light Pakistan Traders (not Mian Abdul Hameed); appellant taken from OCR body per instructions. Decision date shows only 'February, 2026' (day blank/illegible in OCR), so decision_date recorded as 2026-02 with day unknown.</t>
  </si>
  <si>
    <t>PRC-00072</t>
  </si>
  <si>
    <t>29</t>
  </si>
  <si>
    <t>M/S NKB Construction Company</t>
  </si>
  <si>
    <t>Local Government Department (Secretary) &amp; Others</t>
  </si>
  <si>
    <t>Municipal Corporation Pishin</t>
  </si>
  <si>
    <t>Construction of PCC Drain at Worker Member Area Municipal Corporation Pishin</t>
  </si>
  <si>
    <t>252609859213</t>
  </si>
  <si>
    <t>Iftikhar Ahmed</t>
  </si>
  <si>
    <t>Rule 56-A; Rule 56; Rules 4, 10, 34, 35, 40 BPP Rules 2014</t>
  </si>
  <si>
    <t>Whether the procuring agency altered the appellant's quoted financial rate during evaluation and whether processing 36 TSEs under a single NIT and the CRC limitation rejection were lawful.</t>
  </si>
  <si>
    <t>The Committee found the appellant was second-lowest bidder yet the award went to another bidder without justification, the quoted rate was allegedly altered with no Rule 40 record, and an incorrect evaluation report was uploaded, violating Rules 4, 10 and 40. The CRC's limitation order was unsustainable for lack of reasoning and processing 36 TSEs under one NIT raised transparency concerns. The impugned award to Respondent No.4 was set aside and re-tendering ordered with a compliance report within 15 days. Estimated cost PKR 7,000,000.</t>
  </si>
  <si>
    <t>rate alteration; second lowest bidder; mis-procurement; Rule 40; 36 TSEs single NIT; re-tender; transparency; Municipal Corporation Pishin</t>
  </si>
  <si>
    <t>PRC Appeals 31/2026, 32/2026 (same procuring agency / NIT)</t>
  </si>
  <si>
    <t>PRC-029-2026_Mir_Safar_Khan_&amp;_Co..pdf</t>
  </si>
  <si>
    <t>OCR shows appellant as M/S NKB Construction Company (rep Najeeb Ullah) although file title references Mir Safar Khan &amp; Co; recorded per OCR text. Member Iftikhar Ahmed listed without Sanjrani surname here. Private members: Iftikhar Ahmed Mir, Syed Muheebullah.</t>
  </si>
  <si>
    <t>PRC-00073</t>
  </si>
  <si>
    <t>30</t>
  </si>
  <si>
    <t>M/s Khan &amp; Brothers</t>
  </si>
  <si>
    <t>Chief Officer, Municipal Corporation Pishin, Local Government Department</t>
  </si>
  <si>
    <t>Construction of PCC Drain at Worker Member Area, Municipal Corporation Pishin</t>
  </si>
  <si>
    <t>PRQ No. 271/18-09-2025</t>
  </si>
  <si>
    <t>TSE No. 252609859543</t>
  </si>
  <si>
    <t>Rule 56-A; Rule 4; Rule 34; Rule 35; Rule 56</t>
  </si>
  <si>
    <t>Whether the appellant was lawfully declared non-responsive on unsigned/unstamped documents and missing similar-experience and non-blacklisting documents, whether the CRC wrongly rejected the complaint as time-barred, and whether uploading an incorrect evaluation report violated transparency.</t>
  </si>
  <si>
    <t>Appellant (6 of 8 bidders rejected) was declared non-responsive for unsigned documents, missing similar assignments and non-blacklisting declaration. The Committee found ambiguous evaluation criteria (Rule 34), an arbitrary CRC rejection on limitation (which should run from upload of complete report on 30.12.2025), and the admitted uploading of an incorrect/other tender's evaluation report. The impugned procurement was set aside and the Procuring Agency directed to cancel it and conduct fresh re-tendering. No monetary cost imposed.</t>
  </si>
  <si>
    <t>Municipal Corporation Pishin; PCC drain; mis-procurement; ambiguous criteria; limitation; incorrect evaluation report; re-tender; transparency</t>
  </si>
  <si>
    <t>PRC-030-2026_Khan_&amp;_Brothers.pdf</t>
  </si>
  <si>
    <t>In-body number 30/2026 matches filename PRC-030. Outcome (procurement set aside, fresh tender ordered) mapped to Accepted.</t>
  </si>
  <si>
    <t>PRC-00074</t>
  </si>
  <si>
    <t>31</t>
  </si>
  <si>
    <t>M/S Syed Nasur Ullah &amp; Brothers</t>
  </si>
  <si>
    <t>Providing and Fixing of Street lights at Ward No. 13, Municipal Corporation Pishin</t>
  </si>
  <si>
    <t>252609860093</t>
  </si>
  <si>
    <t>Rule 56-A; Rule 56; Rules 34, 35 BPP Rules 2014</t>
  </si>
  <si>
    <t>Whether the procuring agency properly evaluated the appellant's consolidated brochure and whether the evaluation criteria on stamping/signing of documents were clear under Rule 34.</t>
  </si>
  <si>
    <t>The Committee observed the evaluation report marked required documents as 'Yes' yet the agency declared the appellant non-responsive without properly examining the consolidated brochure and supporting documents. It found the stamping/signing requirement ambiguous (inconsistent with Rule 34) and the CRC's limitation rejection unjustified, also flagging a single NIT covering 36 TSEs. The appeal was allowed and re-evaluation of the technical bid ordered with a compliance report within 15 days. Estimated cost PKR 2,100,000.</t>
  </si>
  <si>
    <t>eligibility criteria; consolidated brochure; Rule 34 ambiguity; stamping signing; re-evaluation; 36 TSEs single NIT; Municipal Corporation Pishin; Rule 56-A</t>
  </si>
  <si>
    <t>PRC Appeals 29/2026, 32/2026 (same procuring agency / NIT)</t>
  </si>
  <si>
    <t>PRC-031-2026_Syed_Nasur_Ullah_&amp;_Brothers.pdf</t>
  </si>
  <si>
    <t>Outcome appeal allowed to the extent indicated / disposed of with re-evaluation. Private members: Iftikhar Ahmed Mir and Syed Muheebullah. Respondent No.4 M/s A.H.S Brothers was successful bidder.</t>
  </si>
  <si>
    <t>PRC-00075</t>
  </si>
  <si>
    <t>32</t>
  </si>
  <si>
    <t>M/S Naqeeb Ullah Khan Tareen &amp; Brothers</t>
  </si>
  <si>
    <t>Repair and Renovation of Office of the Municipal Corporation Pishin</t>
  </si>
  <si>
    <t>252609861393</t>
  </si>
  <si>
    <t>Whether the appellant met mandatory eligibility criteria (similar assignments) and whether the alleged withdrawal of the Call Deposit Receipt was proven.</t>
  </si>
  <si>
    <t>The Committee held the respondents' CDR-withdrawal allegation unsubstantiated, but found the appellant failed to produce documentary evidence of similar assignments required as mandatory eligibility; even the single referenced work order was not attached. Burden of proving eligibility compliance rests on the bidder, which was not discharged. The appeal was dismissed solely on failure to prove similar assignments. Estimated cost PKR 10,000,000.</t>
  </si>
  <si>
    <t>eligibility criteria; similar assignments; non-responsive; CDR withdrawal; burden of proof; Municipal Corporation Pishin; CRC limitation; Rule 56-A</t>
  </si>
  <si>
    <t>PRC Appeals 29/2026, 31/2026 (same procuring agency / NIT)</t>
  </si>
  <si>
    <t>PRC-032-2026_Naqeeb_Ullah_Khan_Tareen_&amp;_Brothers..pdf</t>
  </si>
  <si>
    <t>Private members: Iftikhar Ahmed Mir and Syed Muheebullah, Advocate. Decision announced February 2026. Respondent No.4 M/s A.H.S Brothers declared successful bidder.</t>
  </si>
  <si>
    <t>PRC-00076</t>
  </si>
  <si>
    <t>33</t>
  </si>
  <si>
    <t>M/s Malik Haider Khan &amp; Brothers</t>
  </si>
  <si>
    <t>Construction of Entrance Gate at Lamaran Cross, Municipal Area Pishin</t>
  </si>
  <si>
    <t>TSE No. 252609860933</t>
  </si>
  <si>
    <t>Rule 56-A; Rule 4; Rule 33; Rule 34; Rule 56</t>
  </si>
  <si>
    <t>BPPRA Guidelines dated 28-08-2025 (against demanding unnecessary documentation)</t>
  </si>
  <si>
    <t>Whether the Procuring Agency unlawfully disqualified the appellant on vague stamping/signing and documentation requirements not clearly specified, whether the CRC wrongly rejected the complaint on limitation, and whether issuing one NIT for 36 TSEs with same-day manual opening compromised transparency.</t>
  </si>
  <si>
    <t>Appellant declared non-responsive (10 of 11 bidders rejected) for lack of similar experience, unsigned/unstamped documents and missing certificates. The Committee found serious procedural violations: ambiguous evaluation criteria (Rule 34), arbitrary CRC rejection on limitation without legal basis (Rule 56), a single NIT covering 36 TSEs opened manually the same day (Rule 4), and a disputed/fake bidding-document brochure. Appeal ALLOWED, the impugned procurement set aside, and the Procuring Agency directed to re-tender afresh with a compliance report within 15 days. No monetary cost imposed.</t>
  </si>
  <si>
    <t>Municipal Corporation Pishin; entrance gate; mis-procurement; ambiguous criteria; 36 TSEs single NIT; limitation; re-tender; transparency</t>
  </si>
  <si>
    <t>PRC-033-2026_Malik_Haider_Khan_&amp;_Brothers.pdf</t>
  </si>
  <si>
    <t>In-body number 33/2026 matches filename PRC-033. Outcome 'allowed' mapped to Accepted; procurement set aside and re-tender ordered.</t>
  </si>
  <si>
    <t>PRC-00077</t>
  </si>
  <si>
    <t>45</t>
  </si>
  <si>
    <t>M/s Mah'd Engineers (Pvt) Ltd</t>
  </si>
  <si>
    <t>Chairman Procurement Committee / Executive Engineer Building Duki, CWPP&amp;D Department &amp; Others</t>
  </si>
  <si>
    <t>Executive Engineer (Building) Duki, Communication &amp; Works, Physical Planning &amp; Development Department</t>
  </si>
  <si>
    <t>Pre-Fabs Accommodation (SP) at District Duki, PSDP No. 4048</t>
  </si>
  <si>
    <t>PSDP No. 4048 (Z.2025.1700) 2025-2026; Tender Notice dated 09-01-2026</t>
  </si>
  <si>
    <t>TSE No. 252601942053</t>
  </si>
  <si>
    <t>Duki</t>
  </si>
  <si>
    <t>Rule 56-A; Rule 56(4); Rule 34; Rule 35</t>
  </si>
  <si>
    <t>PEC Registration Policy, 2017 (25% payment evidence for private-sector works)</t>
  </si>
  <si>
    <t>Whether the appeal was time-barred given the CRC's failure to communicate its decision, and whether the appellant substantiated submission of similar-nature work experience where the work order and completion certificate bore chronologically and geographically inconsistent dates and subjects.</t>
  </si>
  <si>
    <t>Appellant was declared technically non-responsive for non-compliance with mandatory eligibility (similar works, turnover, FBR/BRA/non-blacklisting certificates). The Committee held the appeal maintainable (not time-barred) because the CRC failed to communicate its decision under Rule 56(4), but on merits found the submitted work order dated May 2024 postdated its completion certificate dated February 2024, with mismatched work descriptions (Fateh Jang vs Wah Cantt) and an unauthenticated rectification letter. Appeal DISMISSED for failure to prove similar assignments. No cost imposed.</t>
  </si>
  <si>
    <t>technical disqualification; similar work experience; limitation; CRC non-communication; document authenticity; pre-fab accommodation; PEC policy; non-responsive</t>
  </si>
  <si>
    <t>PRC-045-2026_Mahd_Engineers_Pvt_Ltd..pdf</t>
  </si>
  <si>
    <t>In-body number 45/2026 matches filename PRC-045. Quorum lists Iftikhar Ahmed Mir as 'Private Member' though elsewhere noted as Technical Member.</t>
  </si>
  <si>
    <t>PRC-00078</t>
  </si>
  <si>
    <t>M/s Ultrasoft System</t>
  </si>
  <si>
    <t>Chairman Procurement Committee, Balochistan Special Development Initiatives (BSDI) &amp; Others</t>
  </si>
  <si>
    <t>Balochistan Special Development Initiatives (BSDI), Government of Balochistan</t>
  </si>
  <si>
    <t>Procurement of customized software 'Project Monitoring &amp; Tracking System (PMTS)'</t>
  </si>
  <si>
    <t>TSE-252612924192</t>
  </si>
  <si>
    <t>Rule 56; Rule 35(1)</t>
  </si>
  <si>
    <t>Whether the award of zero marks to the appellant for Project Manager qualification, mobile app developer experience, international project experience and Methodology &amp; Approach was arbitrary or contrary to bidding criteria, and whether the binary all-or-nothing scoring of subjective parameters and unequal treatment of the successful bidder vitiated the QCBS evaluation.</t>
  </si>
  <si>
    <t>Appellant challenged its technical disqualification (37.17/70) in a QCBS evaluation (70% technical/30% financial) for the PMTS software, contesting zero marks on Methodology &amp; Approach while the successful bidder M/s Elysian Systems scored 70/70. The Committee scrutinised the binary scoring and found a mandatory functional requirement (Training &amp; Support, Unit 13) missing from the winning bidder's submission, exposing a double standard. OCR text is incomplete (ends at page 10 of 17, mid-findings); the final decision/operative order is NOT present in the OCR.</t>
  </si>
  <si>
    <t>software procurement; QCBS; technical disqualification; binary scoring; methodology and approach; PMTS; BSDI; eligibility turnover</t>
  </si>
  <si>
    <t>PRC-047-2026_Ultrasoft_System..pdf</t>
  </si>
  <si>
    <t>OCR text is truncated at 'PRC Appeal No. 47/2026 ... 10 of 17' and ends mid-findings; the final outcome/operative order is NOT in the OCR, so outcome left blank to avoid hallucination. In-body number 47/2026 matches filename PRC-047. Department BSDI does not map to standard list; mapped to Other. Outcome recovered from later pages on re-OCR.</t>
  </si>
  <si>
    <t>PRC-00079</t>
  </si>
  <si>
    <t>M/s Sheikh Umer Shah &amp; Brothers</t>
  </si>
  <si>
    <t>Grievance Redressal Committee &amp; Others</t>
  </si>
  <si>
    <t>B&amp;R Department, District Musakhel (Executive Engineer)</t>
  </si>
  <si>
    <t>Construction of Police Station Rarasham, Police Station Saddar Musakhel, and Police Station Kingri</t>
  </si>
  <si>
    <t>PRQ No. 3120 dated 06-01-2026</t>
  </si>
  <si>
    <t>252601938423</t>
  </si>
  <si>
    <t>Musakhel</t>
  </si>
  <si>
    <t>Engr. (R) Iftikhar Mir</t>
  </si>
  <si>
    <t>Whether the appellant's disqualification at eligibility assessment for missing mandatory documents was lawful and whether the GRC decision dated 23-02-2026 warranted interference.</t>
  </si>
  <si>
    <t>The Committee found the appellant's bid lacked several mandatory documents: a fresh Combined Legal Affidavit (an old 2023 affidavit was attached), a Current Commitment Work Construction Schedule (a PEC license was attached instead), Financial Situation/Cash Flow statements (only a Bank Maintenance Certificate provided), and a Declaration of Non-Blacklisting on letterhead. The appellant could not demonstrate these were submitted. The disqualification was lawful, the well-reasoned GRC decision was upheld, and the appeal was dismissed. Estimated cost Rs. 59.584 Million.</t>
  </si>
  <si>
    <t>eligibility assessment; mandatory documents; combined legal affidavit; cash flow statement; non-blacklisting declaration; police station; Musakhel; B&amp;R</t>
  </si>
  <si>
    <t>PRC-049-2026_Sheikh_Umer_Shah_&amp;_Brothers..pdf</t>
  </si>
  <si>
    <t>Procuring agency is B&amp;R (Buildings &amp; Roads) Department, mapped to Communication &amp; Works. Members include Engr. Junaid Shah and Abdul Wahab Bulledi, Advocate (private member). Appeal against GRC decision dated 23-02-2026.</t>
  </si>
  <si>
    <t>PRC-00080</t>
  </si>
  <si>
    <t>50</t>
  </si>
  <si>
    <t>M/S Haji Syed Noor &amp; Sons</t>
  </si>
  <si>
    <t>Urban Planning &amp; Development Department, Zhob Division</t>
  </si>
  <si>
    <t>Jirga Hall Renovation and Conversion into Public Library at Zhob</t>
  </si>
  <si>
    <t>PRQ No. 3457 dated 26-01-2026</t>
  </si>
  <si>
    <t>252601955453</t>
  </si>
  <si>
    <t>Whether the appellant approached the competent Complaint Redressal Committee before appealing and whether it submitted a false non-blacklisting declaration.</t>
  </si>
  <si>
    <t>The Committee found the appellant concealed a prior blacklisting by the CWPP&amp;H Department (notification dated 14-04-2025, later withdrawn 22-05-2025) and submitted a declaration stating the firm had never been blacklisted, which was factually incorrect. The appellant also failed to approach the notified CRC (under DC Zhob) before filing the appeal. Concealment of material information and a false declaration justified disqualification under the eligibility criteria, and the appeal was dismissed as devoid of merit.</t>
  </si>
  <si>
    <t>false declaration; non-blacklisting; concealment; eligibility criteria; CRC forum; Zhob; public library; Rule 56-A</t>
  </si>
  <si>
    <t>PRC-050-2026_Haji_Syed_Noor_&amp;_Sons.pdf</t>
  </si>
  <si>
    <t>Department per OCR is Urban Planning &amp; Development Department (mapped to Other). Prior blacklisting by CWPP&amp;H referenced. Members include Engr. Junaid Shah and Abdul Wahab Bulledi, Advocate (private member).</t>
  </si>
  <si>
    <t>PRC-00081</t>
  </si>
  <si>
    <t>51-52</t>
  </si>
  <si>
    <t>M/s SD Consultant &amp; Research Lab (Appeal 51); M/s Bolan Services &amp; Consultants SMC (Pvt) Ltd (Appeal 52)</t>
  </si>
  <si>
    <t>Secretary, Excise, Taxation and Anti-Narcotics Department, Government of Balochistan &amp; Others</t>
  </si>
  <si>
    <t>Additional Secretary, Excise, Taxation and Anti-Narcotics Department, Government of Balochistan</t>
  </si>
  <si>
    <t>Consultancy: Feasibility and Mechanism for Regulatory Utilization of Ephedra and Poppy Cultivation for Medical and Positive Purposes</t>
  </si>
  <si>
    <t>TSE No. 252612929192</t>
  </si>
  <si>
    <t>252612929192</t>
  </si>
  <si>
    <t>Iftikhar Ahmed Sanjarani</t>
  </si>
  <si>
    <t>Rule 56-A; Rule 29; Rule 35(1); Rule 41(1)</t>
  </si>
  <si>
    <t>Whether the bid security in the form of a Security Deposit Receipt (SDR) instead of a Call Deposit satisfies Rule 29, whether minor name variations on the bid security invalidate it, and whether a bidder not on the Active Taxpayers List at bid opening is eligible.</t>
  </si>
  <si>
    <t>Consolidated decision on two appeals arising from the same TSE. M/s SD Consultant &amp; Research Lab's appeal (No.51) dismissed: it submitted an SDR instead of the required Deposit at Call, rendering it non-responsive, and it failed to prove mandatory eligibility. M/s Bolan Services &amp; Consultants (No.52) partly allowed: SD Consultant was not on the FBR Active Taxpayers List at bid opening, so the Procuring Agency was directed to re-evaluate the TSE to the extent of SD Consultant's eligibility. No cost imposed.</t>
  </si>
  <si>
    <t>consolidated decision; bid security; Call Deposit vs SDR; Active Taxpayers List; consultancy; ephedra poppy; non-responsive; re-evaluation</t>
  </si>
  <si>
    <t>PRC Appeal No. 51/2026; PRC Appeal No. 52/2026</t>
  </si>
  <si>
    <t>PRC-051-052-2026_Consolidated_Decision_SD_Consultant_Bolan_Services..pdf</t>
  </si>
  <si>
    <t>Department is Excise, Taxation and Anti-Narcotics Department (does not map to the standard list); mapped to Other. In-body numbers 51 &amp; 52/2026 match filename. Outcome reflects net result: Appeal 51 dismissed (Rejected) and Appeal 52 partly allowed; recorded as Partly Allowed for the consolidated record.</t>
  </si>
  <si>
    <t>PRC-00082</t>
  </si>
  <si>
    <t>56</t>
  </si>
  <si>
    <t>M/s Sultan Mehmood &amp; Co.</t>
  </si>
  <si>
    <t>Executive Engineer (Roads), District Sohbat Pur, Communication &amp; Works Department</t>
  </si>
  <si>
    <t>Construction and rehabilitation of B/T Road from Bhandd to Hairdin (renamed Construction of Bypass Road), District Sohbat Pur</t>
  </si>
  <si>
    <t>TSE-252601941953</t>
  </si>
  <si>
    <t>Sohbat Pur</t>
  </si>
  <si>
    <t>Rejected</t>
  </si>
  <si>
    <t>Section 24A of the General Clauses Act, 1897</t>
  </si>
  <si>
    <t>Rule 56-A; Rule 56; Rule 4; Rule 34; Rule 19(4) of PPR 2004 (federal)</t>
  </si>
  <si>
    <t>Public Procurement Regulations, 2017 (definitions of blacklisting and debarment)</t>
  </si>
  <si>
    <t>Whether ADB debarment of the appellant qualifies as blacklisting by a Procuring Agency in Pakistan, and whether the federal Rule 19(4) of PPR 2004 applies to provincial procurement in Balochistan. Also whether the GRC decided the grievance beyond the prescribed limitation period and whether the appellant fraudulently concealed material facts.</t>
  </si>
  <si>
    <t>Appellant was declared non-eligible because its firm stands debarred by ADB for six years (2025-2031) for fraudulent practices; appellant argued debarment by a foreign institution is not blacklisting by a Procuring Agency in Pakistan. The Committee held that BPP Rules 2014 prevail over federal PPR 2004 (Rule 19(4) has no application in Balochistan via doctrine of implied repeal). OCR text is incomplete (ends mid-findings) and does not contain the final operative order/outcome.</t>
  </si>
  <si>
    <t>ADB debarment; blacklisting vs debarment; technical disqualification; federal vs provincial rules; eligibility criteria; road construction; GRC limitation; fraudulent concealment</t>
  </si>
  <si>
    <t>PRC-056-2026_Sultan_Mehmood_&amp;_Co..pdf</t>
  </si>
  <si>
    <t>OCR text is truncated and ends in the middle of the Committee's findings (Issue No. 2); the final decision/operative order is NOT present in the OCR, so outcome left blank to avoid hallucination. In-body appeal number 56/2026 matches filename PRC-056. GRC decision date inconsistently referenced as 25.02.2026 vs 25.03.2026 in the text. Outcome recovered from later pages on re-OCR.</t>
  </si>
  <si>
    <t>PRC-00083</t>
  </si>
  <si>
    <t>75.pdf</t>
  </si>
  <si>
    <t>Pending</t>
  </si>
  <si>
    <t>OCR could not extract any readable text from this scan (image-only/illegible across all DPI, rotation and PSM settings). All fields require manual entry from the source PDF. Drive metadata title suggests 'PRC decision 10'.</t>
  </si>
  <si>
    <t>Dropdown Source Lists</t>
  </si>
  <si>
    <t>Controlled vocabularies used for data validation in PRC_Master_Index. Add new values at the bottom of a column; ranges are sized for growth.</t>
  </si>
  <si>
    <t>Verified</t>
  </si>
  <si>
    <t>Review Petition</t>
  </si>
  <si>
    <t>Duplicate</t>
  </si>
  <si>
    <t>In Progress</t>
  </si>
  <si>
    <t>Complaint</t>
  </si>
  <si>
    <t>Under Review</t>
  </si>
  <si>
    <t>Clarification</t>
  </si>
  <si>
    <t>Disputed</t>
  </si>
  <si>
    <t>Superseded</t>
  </si>
  <si>
    <t>Published</t>
  </si>
  <si>
    <t>Health</t>
  </si>
  <si>
    <t>Suo Moto</t>
  </si>
  <si>
    <t>On Hold</t>
  </si>
  <si>
    <t>Compliance Review</t>
  </si>
  <si>
    <t>Archived</t>
  </si>
  <si>
    <t>Finance</t>
  </si>
  <si>
    <t>Agriculture</t>
  </si>
  <si>
    <t>Forest &amp; Wildlife</t>
  </si>
  <si>
    <t>Food</t>
  </si>
  <si>
    <t>Home &amp; Tribal Affairs</t>
  </si>
  <si>
    <t>Social Welfare</t>
  </si>
  <si>
    <t>Master_PRC_Index — Data Entry &amp; Governance Guide</t>
  </si>
  <si>
    <t>Balochistan Procurement Guide (BPG) Project — Procurement Review Committee (PRC) Decisions Master Database</t>
  </si>
  <si>
    <t>Purpose</t>
  </si>
  <si>
    <t>What this is</t>
  </si>
  <si>
    <t>The single authoritative source of all PRC decisions for the BPG Project. It feeds the AI Knowledge Base, public website, mobile app, search engine, legal research and the analytics dashboard. Accuracy and consistency are critical — downstream systems trust this data.</t>
  </si>
  <si>
    <t>Golden rule</t>
  </si>
  <si>
    <t>One PRC decision = one row. Never split a decision across rows, and never merge two decisions into one row.</t>
  </si>
  <si>
    <t>How to enter a new PRC decision</t>
  </si>
  <si>
    <t>1. Go to PRC_Master_Index</t>
  </si>
  <si>
    <t>Open the PRC_Master_Index sheet. Click the first empty row directly below the last filled record. Do not leave blank rows in the middle of the table.</t>
  </si>
  <si>
    <t>2. Assign a Record ID</t>
  </si>
  <si>
    <t>Use the format PRC-#####, incrementing from the previous row (e.g. PRC-00001, PRC-00002). This ID is permanent and must never be reused or changed.</t>
  </si>
  <si>
    <t>3. Fill identifying fields</t>
  </si>
  <si>
    <t>Appeal Number, Appeal Year, Appellant, Respondent, Procuring Agency, Tender Title, Tender Reference / NIT, TSE Number, District, Department.</t>
  </si>
  <si>
    <t>4. Enter decision details</t>
  </si>
  <si>
    <t>Decision Date (YYYY-MM-DD), Decision Type and Outcome — pick these from the dropdown lists. Record Chairman, Member 1 and Member 2.</t>
  </si>
  <si>
    <t>5. Capture legal references</t>
  </si>
  <si>
    <t>List Relevant BPPRA Act Sections, Rules, Regulations and Circulars. Separate multiple items with a semicolon (e.g. 'Rule 12; Rule 23').</t>
  </si>
  <si>
    <t>6. Summarise the case</t>
  </si>
  <si>
    <t>Write Legal Issues and a concise Final Decision Summary in plain language. Add Keywords (semicolon-separated) to power search.</t>
  </si>
  <si>
    <t>7. Link related material</t>
  </si>
  <si>
    <t>Related PRC Decisions (by Record ID) and Related Court Judgments (citation).</t>
  </si>
  <si>
    <t>8. Record the repository</t>
  </si>
  <si>
    <t>PDF File Name (exact file name including .pdf) and Repository Folder (path/folder where the source PDF is stored).</t>
  </si>
  <si>
    <t>9. Set status fields</t>
  </si>
  <si>
    <t>Choose Verification Status, Duplicate Status and Processing Status from the dropdowns.</t>
  </si>
  <si>
    <t>10. Stamp the date</t>
  </si>
  <si>
    <t>Enter today's date in Last Updated (YYYY-MM-DD). Update this every time you edit the row.</t>
  </si>
  <si>
    <t>Data entry rules</t>
  </si>
  <si>
    <t>Dropdown fields</t>
  </si>
  <si>
    <t>Decision Type, Outcome, Verification Status, Duplicate Status, Processing Status and Department must be chosen from their dropdowns. To add a new allowed value, add it to the matching column on the Lists sheet first.</t>
  </si>
  <si>
    <t>Dates</t>
  </si>
  <si>
    <t>Always use ISO format YYYY-MM-DD so sorting and analytics work correctly.</t>
  </si>
  <si>
    <t>Multiple values in one cell</t>
  </si>
  <si>
    <t>Separate with a semicolon and a space ('; '). Keep them consistent so search and tagging stay reliable.</t>
  </si>
  <si>
    <t>No blank rows</t>
  </si>
  <si>
    <t>Keep records contiguous. Blank rows break the table, statistics and downstream imports.</t>
  </si>
  <si>
    <t>Record ID is permanent</t>
  </si>
  <si>
    <t>Never edit or reuse a Record ID, even if a record is later marked Duplicate or Superseded.</t>
  </si>
  <si>
    <t>Duplicates</t>
  </si>
  <si>
    <t>If a record duplicates another, set Duplicate Status to 'Duplicate' (or 'Possible Duplicate') and note the surviving Record ID in the Notes column — do not delete the row.</t>
  </si>
  <si>
    <t>Verification</t>
  </si>
  <si>
    <t>New rows start as 'Unverified'. A reviewer changes this to 'Verified' only after checking against the source PDF.</t>
  </si>
  <si>
    <t>Sheets in this workbook</t>
  </si>
  <si>
    <t>PRC_Master_Index</t>
  </si>
  <si>
    <t>The master table — every PRC decision lives here, one per row.</t>
  </si>
  <si>
    <t>Lists</t>
  </si>
  <si>
    <t>Controlled vocabularies that drive the dropdowns. Edit here to add allowed values.</t>
  </si>
  <si>
    <t>Instructions</t>
  </si>
  <si>
    <t>This guide.</t>
  </si>
  <si>
    <t>Statistics</t>
  </si>
  <si>
    <t>Live dashboard that recalculates automatically from the master table.</t>
  </si>
  <si>
    <t>Maintenance &amp; integrity</t>
  </si>
  <si>
    <t>Adding dropdown values</t>
  </si>
  <si>
    <t>On the Lists sheet, type the new value in the next empty cell at the bottom of the relevant column. Validation ranges already allow for growth.</t>
  </si>
  <si>
    <t>Scalability</t>
  </si>
  <si>
    <t>The table is sized for 10,000+ records. As you fill rows, Excel extends the table automatically.</t>
  </si>
  <si>
    <t>Backups</t>
  </si>
  <si>
    <t>Keep dated backups before bulk edits. This file is the system of record for multiple downstream products.</t>
  </si>
  <si>
    <t>Do not</t>
  </si>
  <si>
    <t>Do not rename sheets or columns, reorder columns, or insert columns inside the table — downstream imports rely on this exact structure.</t>
  </si>
  <si>
    <t>PRC Decisions — Statistics Dashboard</t>
  </si>
  <si>
    <t>Live metrics. Figures recalculate automatically as records are added to PRC_Master_Index.</t>
  </si>
  <si>
    <t>Metric</t>
  </si>
  <si>
    <t>Count</t>
  </si>
  <si>
    <t>Share</t>
  </si>
  <si>
    <t>Total Decisions</t>
  </si>
  <si>
    <t>—</t>
  </si>
  <si>
    <t>Accepted Appeals</t>
  </si>
  <si>
    <t>Rejected Appeals</t>
  </si>
  <si>
    <t>Partly Allowed Appeals</t>
  </si>
  <si>
    <t>Pending Processing</t>
  </si>
  <si>
    <t>Verified Records</t>
  </si>
  <si>
    <t>Duplicate Records</t>
  </si>
  <si>
    <t>Outcome Breakdown (all categories)</t>
  </si>
  <si>
    <t>Processing Status Breakdown</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</si>
</sst>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yyyy\-mm\-dd"/>
    <numFmt numFmtId="165" formatCode="0.0%"/>
  </numFmts>
  <fonts count="9" x14ac:knownFonts="1">
    <font>
      <sz val="11"/>
      <color theme="1"/>
      <name val="Calibri"/>
      <scheme val="minor"/>
    </font>
    <font>
      <b/>
      <sz val="11"/>
      <color rgb="FFFFFFFF"/>
      <name val="Calibri"/>
    </font>
    <font>
      <sz val="11"/>
      <color theme="1"/>
      <name val="Calibri"/>
    </font>
    <font>
      <b/>
      <sz val="16"/>
      <color rgb="FF1F3864"/>
      <name val="Calibri"/>
    </font>
    <font>
      <i/>
      <sz val="10"/>
      <color rgb="FF595959"/>
      <name val="Calibri"/>
    </font>
    <font>
      <b/>
      <sz val="12"/>
      <color rgb="FFFFFFFF"/>
      <name val="Calibri"/>
    </font>
    <font>
      <sz val="11"/>
      <name val="Calibri"/>
    </font>
    <font>
      <b/>
      <sz val="11"/>
      <color theme="1"/>
      <name val="Calibri"/>
    </font>
    <font>
      <b/>
      <sz val="12"/>
      <color rgb="FF1F3864"/>
      <name val="Calibri"/>
    </font>
  </fonts>
  <fills count="5">
    <fill>
      <patternFill patternType="none"/>
    </fill>
    <fill>
      <patternFill patternType="gray125"/>
    </fill>
    <fill>
      <patternFill patternType="solid">
        <fgColor rgb="FF1F3864"/>
        <bgColor rgb="FF1F3864"/>
      </patternFill>
    </fill>
    <fill>
      <patternFill patternType="solid">
        <fgColor rgb="FF2F5496"/>
        <bgColor rgb="FF2F5496"/>
      </patternFill>
    </fill>
    <fill>
      <patternFill patternType="solid">
        <fgColor rgb="FFD9E1F2"/>
        <bgColor rgb="FFD9E1F2"/>
      </patternFill>
    </fill>
  </fills>
  <borders count="4">
    <border>
      <left/>
      <right/>
      <top/>
      <bottom/>
      <diagonal/>
    </border>
    <border>
      <left style="thin">
        <color rgb="FFBFBFBF"/>
      </left>
      <right style="thin">
        <color rgb="FFBFBFBF"/>
      </right>
      <top style="thin">
        <color rgb="FFBFBFBF"/>
      </top>
      <bottom style="thin">
        <color rgb="FFBFBFBF"/>
      </bottom>
      <diagonal/>
    </border>
    <border>
      <left/>
      <right/>
      <top/>
      <bottom/>
      <diagonal/>
    </border>
    <border>
      <left/>
      <right/>
      <top/>
      <bottom/>
      <diagonal/>
    </border>
  </borders>
  <cellStyleXfs count="1">
    <xf numFmtId="0" fontId="0" fillId="0" borderId="0"/>
  </cellStyleXfs>
  <cellXfs count="29">
    <xf numFmtId="0" fontId="0" fillId="0" borderId="0" xfId="0" applyFont="1" applyAlignment="1"/>
    <xf numFmtId="0" fontId="1" fillId="2" borderId="1" xfId="0" applyFont="1" applyFill="1" applyBorder="1" applyAlignment="1">
      <alignment horizontal="center" vertical="center" wrapText="1"/>
    </xf>
    <xf numFmtId="0" fontId="2" fillId="0" borderId="1" xfId="0" applyFont="1" applyBorder="1" applyAlignment="1">
      <alignment horizontal="left" vertical="top" wrapText="1"/>
    </xf>
    <xf numFmtId="1" fontId="2" fillId="0" borderId="1" xfId="0" applyNumberFormat="1" applyFont="1" applyBorder="1" applyAlignment="1">
      <alignment horizontal="left" vertical="top" wrapText="1"/>
    </xf>
    <xf numFmtId="164" fontId="2" fillId="0" borderId="1" xfId="0" applyNumberFormat="1" applyFont="1" applyBorder="1" applyAlignment="1">
      <alignment horizontal="left" vertical="top" wrapText="1"/>
    </xf>
    <xf numFmtId="0" fontId="2" fillId="0" borderId="0" xfId="0" applyFont="1" applyAlignment="1"/>
    <xf numFmtId="0" fontId="3" fillId="0" borderId="0" xfId="0" applyFont="1" applyAlignment="1"/>
    <xf numFmtId="0" fontId="4" fillId="0" borderId="0" xfId="0" applyFont="1" applyAlignment="1"/>
    <xf numFmtId="0" fontId="1" fillId="3" borderId="1" xfId="0" applyFont="1" applyFill="1" applyBorder="1" applyAlignment="1">
      <alignment horizontal="center" vertical="center" wrapText="1"/>
    </xf>
    <xf numFmtId="0" fontId="2" fillId="0" borderId="1" xfId="0" applyFont="1" applyBorder="1" applyAlignment="1">
      <alignment horizontal="left" vertical="center" wrapText="1"/>
    </xf>
    <xf numFmtId="0" fontId="7" fillId="0" borderId="0" xfId="0" applyFont="1" applyAlignment="1">
      <alignment horizontal="left" vertical="top" wrapText="1"/>
    </xf>
    <xf numFmtId="0" fontId="2" fillId="0" borderId="0" xfId="0" applyFont="1" applyAlignment="1">
      <alignment horizontal="left" vertical="top" wrapText="1"/>
    </xf>
    <xf numFmtId="0" fontId="7" fillId="0" borderId="1" xfId="0" applyFont="1" applyBorder="1" applyAlignment="1">
      <alignment horizontal="left" vertical="center" wrapText="1"/>
    </xf>
    <xf numFmtId="3"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7" fillId="4" borderId="1" xfId="0" applyFont="1" applyFill="1" applyBorder="1" applyAlignment="1">
      <alignment horizontal="left" vertical="center" wrapText="1"/>
    </xf>
    <xf numFmtId="3" fontId="2" fillId="4" borderId="1" xfId="0" applyNumberFormat="1" applyFont="1" applyFill="1" applyBorder="1" applyAlignment="1">
      <alignment horizontal="center" vertical="center" wrapText="1"/>
    </xf>
    <xf numFmtId="165" fontId="2" fillId="4" borderId="1" xfId="0" applyNumberFormat="1" applyFont="1" applyFill="1" applyBorder="1" applyAlignment="1">
      <alignment horizontal="center" vertical="center" wrapText="1"/>
    </xf>
    <xf numFmtId="165" fontId="2" fillId="0" borderId="1" xfId="0" applyNumberFormat="1" applyFont="1" applyBorder="1" applyAlignment="1">
      <alignment horizontal="center" vertical="center" wrapText="1"/>
    </xf>
    <xf numFmtId="0" fontId="8" fillId="0" borderId="0" xfId="0" applyFont="1" applyAlignment="1"/>
    <xf numFmtId="0" fontId="2" fillId="4" borderId="1" xfId="0" applyFont="1" applyFill="1" applyBorder="1" applyAlignment="1">
      <alignment horizontal="left" vertical="center" wrapText="1"/>
    </xf>
    <xf numFmtId="0" fontId="4" fillId="0" borderId="0" xfId="0" applyFont="1" applyAlignment="1"/>
    <xf numFmtId="0" fontId="0" fillId="0" borderId="0" xfId="0" applyFont="1" applyAlignment="1"/>
    <xf numFmtId="0" fontId="3" fillId="0" borderId="0" xfId="0" applyFont="1" applyAlignment="1"/>
    <xf numFmtId="0" fontId="5" fillId="2" borderId="2" xfId="0" applyFont="1" applyFill="1" applyBorder="1" applyAlignment="1">
      <alignment horizontal="left" vertical="center" wrapText="1"/>
    </xf>
    <xf numFmtId="0" fontId="6" fillId="0" borderId="3" xfId="0" applyFont="1" applyBorder="1"/>
    <xf numFmtId="0" fontId="2" fillId="0" borderId="1" xfId="0" applyFont="1" applyBorder="1" applyAlignment="1">
      <alignment horizontal="left" vertical="top"/>
    </xf>
    <xf numFmtId="1" fontId="2" fillId="0" borderId="1" xfId="0" applyNumberFormat="1" applyFont="1" applyBorder="1" applyAlignment="1">
      <alignment horizontal="left" vertical="top"/>
    </xf>
    <xf numFmtId="164" fontId="2" fillId="0" borderId="1" xfId="0" applyNumberFormat="1" applyFont="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microsoft.com/office/2017/10/relationships/person" Target="persons/person.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G1000"/>
  <sheetViews>
    <sheetView showGridLines="0" tabSelected="1" workbookViewId="0">
      <pane ySplit="1" topLeftCell="A2" activePane="bottomLeft" state="frozen"/>
      <selection pane="bottomLeft" activeCell="B56" sqref="B56"/>
    </sheetView>
  </sheetViews>
  <sheetFormatPr defaultColWidth="14.44140625" defaultRowHeight="15" customHeight="1" x14ac:dyDescent="0.3"/>
  <cols>
    <col min="1" max="1" width="12" customWidth="1"/>
    <col min="2" max="2" width="16" customWidth="1"/>
    <col min="3" max="3" width="11" customWidth="1"/>
    <col min="4" max="5" width="26" customWidth="1"/>
    <col min="6" max="6" width="28" customWidth="1"/>
    <col min="7" max="7" width="34" customWidth="1"/>
    <col min="8" max="8" width="22" customWidth="1"/>
    <col min="9" max="9" width="14" customWidth="1"/>
    <col min="10" max="10" width="16" customWidth="1"/>
    <col min="11" max="11" width="24" customWidth="1"/>
    <col min="12" max="12" width="14" customWidth="1"/>
    <col min="13" max="13" width="18" customWidth="1"/>
    <col min="14" max="14" width="16" customWidth="1"/>
    <col min="15" max="17" width="22" customWidth="1"/>
    <col min="18" max="18" width="24" customWidth="1"/>
    <col min="19" max="21" width="22" customWidth="1"/>
    <col min="22" max="22" width="34" customWidth="1"/>
    <col min="23" max="23" width="40" customWidth="1"/>
    <col min="24" max="24" width="30" customWidth="1"/>
    <col min="25" max="25" width="22" customWidth="1"/>
    <col min="26" max="26" width="24" customWidth="1"/>
    <col min="27" max="27" width="26" customWidth="1"/>
    <col min="28" max="28" width="24" customWidth="1"/>
    <col min="29" max="31" width="18" customWidth="1"/>
    <col min="32" max="32" width="30" customWidth="1"/>
    <col min="33" max="33" width="16" customWidth="1"/>
  </cols>
  <sheetData>
    <row r="1" spans="1:33" ht="30" customHeight="1"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spans="1:33" ht="15" customHeight="1" x14ac:dyDescent="0.3">
      <c r="A2" s="2" t="s">
        <v>33</v>
      </c>
      <c r="B2" s="2" t="s">
        <v>34</v>
      </c>
      <c r="C2" s="3">
        <v>2024</v>
      </c>
      <c r="D2" s="2" t="s">
        <v>35</v>
      </c>
      <c r="E2" s="2" t="s">
        <v>36</v>
      </c>
      <c r="F2" s="2" t="s">
        <v>37</v>
      </c>
      <c r="G2" s="2"/>
      <c r="H2" s="2"/>
      <c r="I2" s="2" t="s">
        <v>38</v>
      </c>
      <c r="J2" s="2"/>
      <c r="K2" s="2" t="s">
        <v>39</v>
      </c>
      <c r="L2" s="4">
        <v>45480</v>
      </c>
      <c r="M2" s="2" t="s">
        <v>40</v>
      </c>
      <c r="N2" s="2" t="s">
        <v>41</v>
      </c>
      <c r="O2" s="2" t="s">
        <v>42</v>
      </c>
      <c r="P2" s="2" t="s">
        <v>43</v>
      </c>
      <c r="Q2" s="2" t="s">
        <v>44</v>
      </c>
      <c r="R2" s="2"/>
      <c r="S2" s="2" t="s">
        <v>45</v>
      </c>
      <c r="T2" s="2" t="s">
        <v>46</v>
      </c>
      <c r="U2" s="2"/>
      <c r="V2" s="2" t="s">
        <v>47</v>
      </c>
      <c r="W2" s="2" t="s">
        <v>48</v>
      </c>
      <c r="X2" s="2" t="s">
        <v>49</v>
      </c>
      <c r="Y2" s="2"/>
      <c r="Z2" s="2"/>
      <c r="AA2" s="2" t="s">
        <v>50</v>
      </c>
      <c r="AB2" s="2" t="s">
        <v>51</v>
      </c>
      <c r="AC2" s="2" t="s">
        <v>52</v>
      </c>
      <c r="AD2" s="2" t="s">
        <v>53</v>
      </c>
      <c r="AE2" s="2" t="s">
        <v>54</v>
      </c>
      <c r="AF2" s="2" t="s">
        <v>55</v>
      </c>
      <c r="AG2" s="4">
        <v>46198</v>
      </c>
    </row>
    <row r="3" spans="1:33" ht="15" customHeight="1" x14ac:dyDescent="0.3">
      <c r="A3" s="2" t="s">
        <v>56</v>
      </c>
      <c r="B3" s="2" t="s">
        <v>57</v>
      </c>
      <c r="C3" s="3">
        <v>2025</v>
      </c>
      <c r="D3" s="2" t="s">
        <v>58</v>
      </c>
      <c r="E3" s="2" t="s">
        <v>59</v>
      </c>
      <c r="F3" s="2" t="s">
        <v>60</v>
      </c>
      <c r="G3" s="2"/>
      <c r="H3" s="2"/>
      <c r="I3" s="2"/>
      <c r="J3" s="2" t="s">
        <v>61</v>
      </c>
      <c r="K3" s="2" t="s">
        <v>39</v>
      </c>
      <c r="L3" s="4">
        <v>45855</v>
      </c>
      <c r="M3" s="2" t="s">
        <v>40</v>
      </c>
      <c r="N3" s="2" t="s">
        <v>41</v>
      </c>
      <c r="O3" s="2" t="s">
        <v>62</v>
      </c>
      <c r="P3" s="2" t="s">
        <v>63</v>
      </c>
      <c r="Q3" s="2" t="s">
        <v>64</v>
      </c>
      <c r="R3" s="2"/>
      <c r="S3" s="2" t="s">
        <v>65</v>
      </c>
      <c r="T3" s="2"/>
      <c r="U3" s="2"/>
      <c r="V3" s="2" t="s">
        <v>66</v>
      </c>
      <c r="W3" s="2" t="s">
        <v>67</v>
      </c>
      <c r="X3" s="2" t="s">
        <v>68</v>
      </c>
      <c r="Y3" s="2"/>
      <c r="Z3" s="2"/>
      <c r="AA3" s="2" t="s">
        <v>69</v>
      </c>
      <c r="AB3" s="2" t="s">
        <v>51</v>
      </c>
      <c r="AC3" s="2" t="s">
        <v>52</v>
      </c>
      <c r="AD3" s="2" t="s">
        <v>53</v>
      </c>
      <c r="AE3" s="2" t="s">
        <v>54</v>
      </c>
      <c r="AF3" s="2" t="s">
        <v>70</v>
      </c>
      <c r="AG3" s="4">
        <v>46198</v>
      </c>
    </row>
    <row r="4" spans="1:33" ht="15" customHeight="1" x14ac:dyDescent="0.3">
      <c r="A4" s="2" t="s">
        <v>71</v>
      </c>
      <c r="B4" s="2" t="s">
        <v>72</v>
      </c>
      <c r="C4" s="3">
        <v>2025</v>
      </c>
      <c r="D4" s="2" t="s">
        <v>73</v>
      </c>
      <c r="E4" s="2" t="s">
        <v>74</v>
      </c>
      <c r="F4" s="2" t="s">
        <v>75</v>
      </c>
      <c r="G4" s="2" t="s">
        <v>76</v>
      </c>
      <c r="H4" s="2"/>
      <c r="I4" s="2" t="s">
        <v>77</v>
      </c>
      <c r="J4" s="2" t="s">
        <v>78</v>
      </c>
      <c r="K4" s="2" t="s">
        <v>79</v>
      </c>
      <c r="L4" s="4">
        <v>45826</v>
      </c>
      <c r="M4" s="2" t="s">
        <v>40</v>
      </c>
      <c r="N4" s="2" t="s">
        <v>80</v>
      </c>
      <c r="O4" s="2" t="s">
        <v>81</v>
      </c>
      <c r="P4" s="2" t="s">
        <v>63</v>
      </c>
      <c r="Q4" s="2" t="s">
        <v>64</v>
      </c>
      <c r="R4" s="2"/>
      <c r="S4" s="2" t="s">
        <v>82</v>
      </c>
      <c r="T4" s="2"/>
      <c r="U4" s="2"/>
      <c r="V4" s="2" t="s">
        <v>83</v>
      </c>
      <c r="W4" s="2" t="s">
        <v>84</v>
      </c>
      <c r="X4" s="2" t="s">
        <v>85</v>
      </c>
      <c r="Y4" s="2"/>
      <c r="Z4" s="2"/>
      <c r="AA4" s="2" t="s">
        <v>86</v>
      </c>
      <c r="AB4" s="2" t="s">
        <v>51</v>
      </c>
      <c r="AC4" s="2" t="s">
        <v>52</v>
      </c>
      <c r="AD4" s="2" t="s">
        <v>53</v>
      </c>
      <c r="AE4" s="2" t="s">
        <v>54</v>
      </c>
      <c r="AF4" s="2" t="s">
        <v>87</v>
      </c>
      <c r="AG4" s="4">
        <v>46198</v>
      </c>
    </row>
    <row r="5" spans="1:33" ht="15" customHeight="1" x14ac:dyDescent="0.3">
      <c r="A5" s="2" t="s">
        <v>88</v>
      </c>
      <c r="B5" s="2" t="s">
        <v>89</v>
      </c>
      <c r="C5" s="3">
        <v>2025</v>
      </c>
      <c r="D5" s="2" t="s">
        <v>90</v>
      </c>
      <c r="E5" s="2" t="s">
        <v>36</v>
      </c>
      <c r="F5" s="2" t="s">
        <v>91</v>
      </c>
      <c r="G5" s="2" t="s">
        <v>92</v>
      </c>
      <c r="H5" s="2" t="s">
        <v>93</v>
      </c>
      <c r="I5" s="2" t="s">
        <v>94</v>
      </c>
      <c r="J5" s="2" t="s">
        <v>95</v>
      </c>
      <c r="K5" s="2" t="s">
        <v>39</v>
      </c>
      <c r="L5" s="4">
        <v>45840</v>
      </c>
      <c r="M5" s="2" t="s">
        <v>40</v>
      </c>
      <c r="N5" s="2" t="s">
        <v>80</v>
      </c>
      <c r="O5" s="2" t="s">
        <v>42</v>
      </c>
      <c r="P5" s="2" t="s">
        <v>43</v>
      </c>
      <c r="Q5" s="2" t="s">
        <v>96</v>
      </c>
      <c r="R5" s="2"/>
      <c r="S5" s="2" t="s">
        <v>97</v>
      </c>
      <c r="T5" s="2"/>
      <c r="U5" s="2"/>
      <c r="V5" s="2" t="s">
        <v>98</v>
      </c>
      <c r="W5" s="2" t="s">
        <v>99</v>
      </c>
      <c r="X5" s="2" t="s">
        <v>100</v>
      </c>
      <c r="Y5" s="2"/>
      <c r="Z5" s="2"/>
      <c r="AA5" s="2" t="s">
        <v>101</v>
      </c>
      <c r="AB5" s="2" t="s">
        <v>51</v>
      </c>
      <c r="AC5" s="2" t="s">
        <v>52</v>
      </c>
      <c r="AD5" s="2" t="s">
        <v>53</v>
      </c>
      <c r="AE5" s="2" t="s">
        <v>54</v>
      </c>
      <c r="AF5" s="2" t="s">
        <v>102</v>
      </c>
      <c r="AG5" s="4">
        <v>46198</v>
      </c>
    </row>
    <row r="6" spans="1:33" ht="15" customHeight="1" x14ac:dyDescent="0.3">
      <c r="A6" s="2" t="s">
        <v>103</v>
      </c>
      <c r="B6" s="2" t="s">
        <v>104</v>
      </c>
      <c r="C6" s="3">
        <v>2025</v>
      </c>
      <c r="D6" s="2" t="s">
        <v>105</v>
      </c>
      <c r="E6" s="2" t="s">
        <v>59</v>
      </c>
      <c r="F6" s="2" t="s">
        <v>106</v>
      </c>
      <c r="G6" s="2"/>
      <c r="H6" s="2"/>
      <c r="I6" s="2" t="s">
        <v>107</v>
      </c>
      <c r="J6" s="2"/>
      <c r="K6" s="2" t="s">
        <v>39</v>
      </c>
      <c r="L6" s="4">
        <v>45841</v>
      </c>
      <c r="M6" s="2" t="s">
        <v>40</v>
      </c>
      <c r="N6" s="2" t="s">
        <v>41</v>
      </c>
      <c r="O6" s="2" t="s">
        <v>81</v>
      </c>
      <c r="P6" s="2" t="s">
        <v>63</v>
      </c>
      <c r="Q6" s="2" t="s">
        <v>64</v>
      </c>
      <c r="R6" s="2"/>
      <c r="S6" s="2" t="s">
        <v>108</v>
      </c>
      <c r="T6" s="2"/>
      <c r="U6" s="2"/>
      <c r="V6" s="2" t="s">
        <v>109</v>
      </c>
      <c r="W6" s="2" t="s">
        <v>110</v>
      </c>
      <c r="X6" s="2" t="s">
        <v>111</v>
      </c>
      <c r="Y6" s="2"/>
      <c r="Z6" s="2"/>
      <c r="AA6" s="2" t="s">
        <v>112</v>
      </c>
      <c r="AB6" s="2" t="s">
        <v>51</v>
      </c>
      <c r="AC6" s="2" t="s">
        <v>52</v>
      </c>
      <c r="AD6" s="2" t="s">
        <v>53</v>
      </c>
      <c r="AE6" s="2" t="s">
        <v>54</v>
      </c>
      <c r="AF6" s="2" t="s">
        <v>113</v>
      </c>
      <c r="AG6" s="4">
        <v>46198</v>
      </c>
    </row>
    <row r="7" spans="1:33" ht="15" customHeight="1" x14ac:dyDescent="0.3">
      <c r="A7" s="2" t="s">
        <v>114</v>
      </c>
      <c r="B7" s="2" t="s">
        <v>115</v>
      </c>
      <c r="C7" s="3">
        <v>2025</v>
      </c>
      <c r="D7" s="2" t="s">
        <v>105</v>
      </c>
      <c r="E7" s="2" t="s">
        <v>59</v>
      </c>
      <c r="F7" s="2" t="s">
        <v>106</v>
      </c>
      <c r="G7" s="2"/>
      <c r="H7" s="2"/>
      <c r="I7" s="2"/>
      <c r="J7" s="2"/>
      <c r="K7" s="2" t="s">
        <v>39</v>
      </c>
      <c r="L7" s="4">
        <v>45841</v>
      </c>
      <c r="M7" s="2" t="s">
        <v>40</v>
      </c>
      <c r="N7" s="2" t="s">
        <v>41</v>
      </c>
      <c r="O7" s="2" t="s">
        <v>81</v>
      </c>
      <c r="P7" s="2" t="s">
        <v>63</v>
      </c>
      <c r="Q7" s="2" t="s">
        <v>64</v>
      </c>
      <c r="R7" s="2"/>
      <c r="S7" s="2" t="s">
        <v>108</v>
      </c>
      <c r="T7" s="2"/>
      <c r="U7" s="2"/>
      <c r="V7" s="2" t="s">
        <v>109</v>
      </c>
      <c r="W7" s="2" t="s">
        <v>110</v>
      </c>
      <c r="X7" s="2" t="s">
        <v>111</v>
      </c>
      <c r="Y7" s="2"/>
      <c r="Z7" s="2"/>
      <c r="AA7" s="2" t="s">
        <v>116</v>
      </c>
      <c r="AB7" s="2" t="s">
        <v>51</v>
      </c>
      <c r="AC7" s="2" t="s">
        <v>52</v>
      </c>
      <c r="AD7" s="2" t="s">
        <v>53</v>
      </c>
      <c r="AE7" s="2" t="s">
        <v>54</v>
      </c>
      <c r="AF7" s="2" t="s">
        <v>117</v>
      </c>
      <c r="AG7" s="4">
        <v>46198</v>
      </c>
    </row>
    <row r="8" spans="1:33" ht="15" customHeight="1" x14ac:dyDescent="0.3">
      <c r="A8" s="2" t="s">
        <v>118</v>
      </c>
      <c r="B8" s="2" t="s">
        <v>119</v>
      </c>
      <c r="C8" s="3">
        <v>2025</v>
      </c>
      <c r="D8" s="2" t="s">
        <v>120</v>
      </c>
      <c r="E8" s="2" t="s">
        <v>121</v>
      </c>
      <c r="F8" s="2" t="s">
        <v>122</v>
      </c>
      <c r="G8" s="2" t="s">
        <v>123</v>
      </c>
      <c r="H8" s="2"/>
      <c r="I8" s="2" t="s">
        <v>124</v>
      </c>
      <c r="J8" s="2" t="s">
        <v>95</v>
      </c>
      <c r="K8" s="2" t="s">
        <v>39</v>
      </c>
      <c r="L8" s="4">
        <v>45870</v>
      </c>
      <c r="M8" s="2" t="s">
        <v>40</v>
      </c>
      <c r="N8" s="2" t="s">
        <v>80</v>
      </c>
      <c r="O8" s="2" t="s">
        <v>62</v>
      </c>
      <c r="P8" s="2" t="s">
        <v>63</v>
      </c>
      <c r="Q8" s="2" t="s">
        <v>125</v>
      </c>
      <c r="R8" s="2"/>
      <c r="S8" s="2" t="s">
        <v>126</v>
      </c>
      <c r="T8" s="2"/>
      <c r="U8" s="2"/>
      <c r="V8" s="2" t="s">
        <v>127</v>
      </c>
      <c r="W8" s="2" t="s">
        <v>128</v>
      </c>
      <c r="X8" s="2" t="s">
        <v>129</v>
      </c>
      <c r="Y8" s="2"/>
      <c r="Z8" s="2"/>
      <c r="AA8" s="2" t="s">
        <v>130</v>
      </c>
      <c r="AB8" s="2" t="s">
        <v>51</v>
      </c>
      <c r="AC8" s="2" t="s">
        <v>52</v>
      </c>
      <c r="AD8" s="2" t="s">
        <v>53</v>
      </c>
      <c r="AE8" s="2" t="s">
        <v>54</v>
      </c>
      <c r="AF8" s="2" t="s">
        <v>131</v>
      </c>
      <c r="AG8" s="4">
        <v>46198</v>
      </c>
    </row>
    <row r="9" spans="1:33" ht="15" customHeight="1" x14ac:dyDescent="0.3">
      <c r="A9" s="2" t="s">
        <v>132</v>
      </c>
      <c r="B9" s="2" t="s">
        <v>133</v>
      </c>
      <c r="C9" s="3">
        <v>2025</v>
      </c>
      <c r="D9" s="2" t="s">
        <v>134</v>
      </c>
      <c r="E9" s="2" t="s">
        <v>135</v>
      </c>
      <c r="F9" s="2" t="s">
        <v>122</v>
      </c>
      <c r="G9" s="2" t="s">
        <v>123</v>
      </c>
      <c r="H9" s="2"/>
      <c r="I9" s="2" t="s">
        <v>124</v>
      </c>
      <c r="J9" s="2" t="s">
        <v>95</v>
      </c>
      <c r="K9" s="2" t="s">
        <v>39</v>
      </c>
      <c r="L9" s="4">
        <v>45870</v>
      </c>
      <c r="M9" s="2" t="s">
        <v>40</v>
      </c>
      <c r="N9" s="2" t="s">
        <v>80</v>
      </c>
      <c r="O9" s="2" t="s">
        <v>62</v>
      </c>
      <c r="P9" s="2" t="s">
        <v>63</v>
      </c>
      <c r="Q9" s="2" t="s">
        <v>125</v>
      </c>
      <c r="R9" s="2"/>
      <c r="S9" s="2" t="s">
        <v>126</v>
      </c>
      <c r="T9" s="2"/>
      <c r="U9" s="2"/>
      <c r="V9" s="2" t="s">
        <v>136</v>
      </c>
      <c r="W9" s="2" t="s">
        <v>137</v>
      </c>
      <c r="X9" s="2" t="s">
        <v>138</v>
      </c>
      <c r="Y9" s="2"/>
      <c r="Z9" s="2"/>
      <c r="AA9" s="2" t="s">
        <v>139</v>
      </c>
      <c r="AB9" s="2" t="s">
        <v>51</v>
      </c>
      <c r="AC9" s="2" t="s">
        <v>52</v>
      </c>
      <c r="AD9" s="2" t="s">
        <v>53</v>
      </c>
      <c r="AE9" s="2" t="s">
        <v>54</v>
      </c>
      <c r="AF9" s="2" t="s">
        <v>140</v>
      </c>
      <c r="AG9" s="4">
        <v>46198</v>
      </c>
    </row>
    <row r="10" spans="1:33" ht="15" customHeight="1" x14ac:dyDescent="0.3">
      <c r="A10" s="2" t="s">
        <v>141</v>
      </c>
      <c r="B10" s="2" t="s">
        <v>142</v>
      </c>
      <c r="C10" s="3">
        <v>2025</v>
      </c>
      <c r="D10" s="2" t="s">
        <v>143</v>
      </c>
      <c r="E10" s="2" t="s">
        <v>144</v>
      </c>
      <c r="F10" s="2" t="s">
        <v>145</v>
      </c>
      <c r="G10" s="2" t="s">
        <v>146</v>
      </c>
      <c r="H10" s="2"/>
      <c r="I10" s="2" t="s">
        <v>94</v>
      </c>
      <c r="J10" s="2" t="s">
        <v>95</v>
      </c>
      <c r="K10" s="2" t="s">
        <v>39</v>
      </c>
      <c r="L10" s="4">
        <v>45868</v>
      </c>
      <c r="M10" s="2" t="s">
        <v>40</v>
      </c>
      <c r="N10" s="2" t="s">
        <v>41</v>
      </c>
      <c r="O10" s="2" t="s">
        <v>62</v>
      </c>
      <c r="P10" s="2" t="s">
        <v>63</v>
      </c>
      <c r="Q10" s="2" t="s">
        <v>125</v>
      </c>
      <c r="R10" s="2"/>
      <c r="S10" s="2"/>
      <c r="T10" s="2"/>
      <c r="U10" s="2"/>
      <c r="V10" s="2" t="s">
        <v>147</v>
      </c>
      <c r="W10" s="2" t="s">
        <v>148</v>
      </c>
      <c r="X10" s="2" t="s">
        <v>149</v>
      </c>
      <c r="Y10" s="2" t="s">
        <v>150</v>
      </c>
      <c r="Z10" s="2"/>
      <c r="AA10" s="2" t="s">
        <v>151</v>
      </c>
      <c r="AB10" s="2" t="s">
        <v>51</v>
      </c>
      <c r="AC10" s="2" t="s">
        <v>52</v>
      </c>
      <c r="AD10" s="2" t="s">
        <v>53</v>
      </c>
      <c r="AE10" s="2" t="s">
        <v>54</v>
      </c>
      <c r="AF10" s="2" t="s">
        <v>152</v>
      </c>
      <c r="AG10" s="4">
        <v>46198</v>
      </c>
    </row>
    <row r="11" spans="1:33" ht="15" customHeight="1" x14ac:dyDescent="0.3">
      <c r="A11" s="2" t="s">
        <v>153</v>
      </c>
      <c r="B11" s="2" t="s">
        <v>154</v>
      </c>
      <c r="C11" s="3">
        <v>2025</v>
      </c>
      <c r="D11" s="2" t="s">
        <v>155</v>
      </c>
      <c r="E11" s="2" t="s">
        <v>156</v>
      </c>
      <c r="F11" s="2" t="s">
        <v>157</v>
      </c>
      <c r="G11" s="2"/>
      <c r="H11" s="2"/>
      <c r="I11" s="2" t="s">
        <v>158</v>
      </c>
      <c r="J11" s="2"/>
      <c r="K11" s="2" t="s">
        <v>39</v>
      </c>
      <c r="L11" s="4">
        <v>45912</v>
      </c>
      <c r="M11" s="2" t="s">
        <v>40</v>
      </c>
      <c r="N11" s="2" t="s">
        <v>41</v>
      </c>
      <c r="O11" s="2" t="s">
        <v>62</v>
      </c>
      <c r="P11" s="2" t="s">
        <v>63</v>
      </c>
      <c r="Q11" s="2" t="s">
        <v>159</v>
      </c>
      <c r="R11" s="2"/>
      <c r="S11" s="2" t="s">
        <v>160</v>
      </c>
      <c r="T11" s="2"/>
      <c r="U11" s="2"/>
      <c r="V11" s="2" t="s">
        <v>161</v>
      </c>
      <c r="W11" s="2" t="s">
        <v>162</v>
      </c>
      <c r="X11" s="2" t="s">
        <v>163</v>
      </c>
      <c r="Y11" s="2"/>
      <c r="Z11" s="2"/>
      <c r="AA11" s="2" t="s">
        <v>164</v>
      </c>
      <c r="AB11" s="2" t="s">
        <v>51</v>
      </c>
      <c r="AC11" s="2" t="s">
        <v>52</v>
      </c>
      <c r="AD11" s="2" t="s">
        <v>53</v>
      </c>
      <c r="AE11" s="2" t="s">
        <v>54</v>
      </c>
      <c r="AF11" s="2" t="s">
        <v>165</v>
      </c>
      <c r="AG11" s="4">
        <v>46198</v>
      </c>
    </row>
    <row r="12" spans="1:33" ht="15" customHeight="1" x14ac:dyDescent="0.3">
      <c r="A12" s="2" t="s">
        <v>166</v>
      </c>
      <c r="B12" s="2" t="s">
        <v>167</v>
      </c>
      <c r="C12" s="3">
        <v>2025</v>
      </c>
      <c r="D12" s="2" t="s">
        <v>168</v>
      </c>
      <c r="E12" s="2" t="s">
        <v>169</v>
      </c>
      <c r="F12" s="2" t="s">
        <v>170</v>
      </c>
      <c r="G12" s="2" t="s">
        <v>171</v>
      </c>
      <c r="H12" s="2" t="s">
        <v>172</v>
      </c>
      <c r="I12" s="2" t="s">
        <v>173</v>
      </c>
      <c r="J12" s="2" t="s">
        <v>174</v>
      </c>
      <c r="K12" s="2" t="s">
        <v>175</v>
      </c>
      <c r="L12" s="4">
        <v>45919</v>
      </c>
      <c r="M12" s="2" t="s">
        <v>40</v>
      </c>
      <c r="N12" s="2" t="s">
        <v>176</v>
      </c>
      <c r="O12" s="2" t="s">
        <v>177</v>
      </c>
      <c r="P12" s="2"/>
      <c r="Q12" s="2"/>
      <c r="R12" s="2"/>
      <c r="S12" s="2" t="s">
        <v>178</v>
      </c>
      <c r="T12" s="2"/>
      <c r="U12" s="2"/>
      <c r="V12" s="2" t="s">
        <v>179</v>
      </c>
      <c r="W12" s="2" t="s">
        <v>180</v>
      </c>
      <c r="X12" s="2" t="s">
        <v>181</v>
      </c>
      <c r="Y12" s="2"/>
      <c r="Z12" s="2"/>
      <c r="AA12" s="2" t="s">
        <v>182</v>
      </c>
      <c r="AB12" s="2" t="s">
        <v>51</v>
      </c>
      <c r="AC12" s="2" t="s">
        <v>52</v>
      </c>
      <c r="AD12" s="2" t="s">
        <v>53</v>
      </c>
      <c r="AE12" s="2" t="s">
        <v>54</v>
      </c>
      <c r="AF12" s="2" t="s">
        <v>183</v>
      </c>
      <c r="AG12" s="4">
        <v>46198</v>
      </c>
    </row>
    <row r="13" spans="1:33" ht="15" customHeight="1" x14ac:dyDescent="0.3">
      <c r="A13" s="2" t="s">
        <v>184</v>
      </c>
      <c r="B13" s="2" t="s">
        <v>185</v>
      </c>
      <c r="C13" s="3">
        <v>2025</v>
      </c>
      <c r="D13" s="2" t="s">
        <v>186</v>
      </c>
      <c r="E13" s="2" t="s">
        <v>187</v>
      </c>
      <c r="F13" s="2" t="s">
        <v>188</v>
      </c>
      <c r="G13" s="2"/>
      <c r="H13" s="2"/>
      <c r="I13" s="2" t="s">
        <v>189</v>
      </c>
      <c r="J13" s="2" t="s">
        <v>95</v>
      </c>
      <c r="K13" s="2" t="s">
        <v>190</v>
      </c>
      <c r="L13" s="4">
        <v>45933</v>
      </c>
      <c r="M13" s="2" t="s">
        <v>40</v>
      </c>
      <c r="N13" s="2" t="s">
        <v>176</v>
      </c>
      <c r="O13" s="2" t="s">
        <v>177</v>
      </c>
      <c r="P13" s="2" t="s">
        <v>43</v>
      </c>
      <c r="Q13" s="2" t="s">
        <v>191</v>
      </c>
      <c r="R13" s="2"/>
      <c r="S13" s="2" t="s">
        <v>192</v>
      </c>
      <c r="T13" s="2"/>
      <c r="U13" s="2"/>
      <c r="V13" s="2" t="s">
        <v>193</v>
      </c>
      <c r="W13" s="2" t="s">
        <v>194</v>
      </c>
      <c r="X13" s="2" t="s">
        <v>195</v>
      </c>
      <c r="Y13" s="2"/>
      <c r="Z13" s="2"/>
      <c r="AA13" s="2" t="s">
        <v>196</v>
      </c>
      <c r="AB13" s="2" t="s">
        <v>51</v>
      </c>
      <c r="AC13" s="2" t="s">
        <v>52</v>
      </c>
      <c r="AD13" s="2" t="s">
        <v>53</v>
      </c>
      <c r="AE13" s="2" t="s">
        <v>54</v>
      </c>
      <c r="AF13" s="2" t="s">
        <v>197</v>
      </c>
      <c r="AG13" s="4">
        <v>46198</v>
      </c>
    </row>
    <row r="14" spans="1:33" ht="15" customHeight="1" x14ac:dyDescent="0.3">
      <c r="A14" s="2" t="s">
        <v>198</v>
      </c>
      <c r="B14" s="2" t="s">
        <v>199</v>
      </c>
      <c r="C14" s="3">
        <v>2025</v>
      </c>
      <c r="D14" s="2" t="s">
        <v>186</v>
      </c>
      <c r="E14" s="2" t="s">
        <v>36</v>
      </c>
      <c r="F14" s="2" t="s">
        <v>200</v>
      </c>
      <c r="G14" s="2"/>
      <c r="H14" s="2"/>
      <c r="I14" s="2" t="s">
        <v>201</v>
      </c>
      <c r="J14" s="2"/>
      <c r="K14" s="2" t="s">
        <v>39</v>
      </c>
      <c r="L14" s="4">
        <v>45938</v>
      </c>
      <c r="M14" s="2" t="s">
        <v>40</v>
      </c>
      <c r="N14" s="2" t="s">
        <v>80</v>
      </c>
      <c r="O14" s="2" t="s">
        <v>202</v>
      </c>
      <c r="P14" s="2" t="s">
        <v>43</v>
      </c>
      <c r="Q14" s="2" t="s">
        <v>96</v>
      </c>
      <c r="R14" s="2"/>
      <c r="S14" s="2" t="s">
        <v>203</v>
      </c>
      <c r="T14" s="2"/>
      <c r="U14" s="2"/>
      <c r="V14" s="2" t="s">
        <v>204</v>
      </c>
      <c r="W14" s="2" t="s">
        <v>205</v>
      </c>
      <c r="X14" s="2" t="s">
        <v>206</v>
      </c>
      <c r="Y14" s="2"/>
      <c r="Z14" s="2"/>
      <c r="AA14" s="2" t="s">
        <v>207</v>
      </c>
      <c r="AB14" s="2" t="s">
        <v>51</v>
      </c>
      <c r="AC14" s="2" t="s">
        <v>52</v>
      </c>
      <c r="AD14" s="2" t="s">
        <v>53</v>
      </c>
      <c r="AE14" s="2" t="s">
        <v>54</v>
      </c>
      <c r="AF14" s="2" t="s">
        <v>208</v>
      </c>
      <c r="AG14" s="4">
        <v>46198</v>
      </c>
    </row>
    <row r="15" spans="1:33" ht="15" customHeight="1" x14ac:dyDescent="0.3">
      <c r="A15" s="2" t="s">
        <v>209</v>
      </c>
      <c r="B15" s="2" t="s">
        <v>210</v>
      </c>
      <c r="C15" s="3">
        <v>2025</v>
      </c>
      <c r="D15" s="2" t="s">
        <v>211</v>
      </c>
      <c r="E15" s="2" t="s">
        <v>212</v>
      </c>
      <c r="F15" s="2" t="s">
        <v>213</v>
      </c>
      <c r="G15" s="2"/>
      <c r="H15" s="2"/>
      <c r="I15" s="2" t="s">
        <v>214</v>
      </c>
      <c r="J15" s="2" t="s">
        <v>215</v>
      </c>
      <c r="K15" s="2" t="s">
        <v>39</v>
      </c>
      <c r="L15" s="4">
        <v>45951</v>
      </c>
      <c r="M15" s="2" t="s">
        <v>40</v>
      </c>
      <c r="N15" s="2" t="s">
        <v>41</v>
      </c>
      <c r="O15" s="2" t="s">
        <v>177</v>
      </c>
      <c r="P15" s="2" t="s">
        <v>43</v>
      </c>
      <c r="Q15" s="2" t="s">
        <v>96</v>
      </c>
      <c r="R15" s="2"/>
      <c r="S15" s="2" t="s">
        <v>216</v>
      </c>
      <c r="T15" s="2" t="s">
        <v>217</v>
      </c>
      <c r="U15" s="2" t="s">
        <v>218</v>
      </c>
      <c r="V15" s="2" t="s">
        <v>219</v>
      </c>
      <c r="W15" s="2" t="s">
        <v>220</v>
      </c>
      <c r="X15" s="2" t="s">
        <v>221</v>
      </c>
      <c r="Y15" s="2"/>
      <c r="Z15" s="2"/>
      <c r="AA15" s="2" t="s">
        <v>222</v>
      </c>
      <c r="AB15" s="2" t="s">
        <v>51</v>
      </c>
      <c r="AC15" s="2" t="s">
        <v>52</v>
      </c>
      <c r="AD15" s="2" t="s">
        <v>53</v>
      </c>
      <c r="AE15" s="2" t="s">
        <v>54</v>
      </c>
      <c r="AF15" s="2" t="s">
        <v>223</v>
      </c>
      <c r="AG15" s="4">
        <v>46198</v>
      </c>
    </row>
    <row r="16" spans="1:33" ht="15" customHeight="1" x14ac:dyDescent="0.3">
      <c r="A16" s="2" t="s">
        <v>224</v>
      </c>
      <c r="B16" s="2" t="s">
        <v>225</v>
      </c>
      <c r="C16" s="3">
        <v>2025</v>
      </c>
      <c r="D16" s="2" t="s">
        <v>226</v>
      </c>
      <c r="E16" s="2" t="s">
        <v>227</v>
      </c>
      <c r="F16" s="2" t="s">
        <v>228</v>
      </c>
      <c r="G16" s="2" t="s">
        <v>229</v>
      </c>
      <c r="H16" s="2"/>
      <c r="I16" s="2" t="s">
        <v>230</v>
      </c>
      <c r="J16" s="2" t="s">
        <v>215</v>
      </c>
      <c r="K16" s="2" t="s">
        <v>231</v>
      </c>
      <c r="L16" s="4">
        <v>45982</v>
      </c>
      <c r="M16" s="2" t="s">
        <v>40</v>
      </c>
      <c r="N16" s="2" t="s">
        <v>41</v>
      </c>
      <c r="O16" s="2" t="s">
        <v>177</v>
      </c>
      <c r="P16" s="2" t="s">
        <v>43</v>
      </c>
      <c r="Q16" s="2" t="s">
        <v>96</v>
      </c>
      <c r="R16" s="2" t="s">
        <v>232</v>
      </c>
      <c r="S16" s="2" t="s">
        <v>233</v>
      </c>
      <c r="T16" s="2" t="s">
        <v>234</v>
      </c>
      <c r="U16" s="2"/>
      <c r="V16" s="2" t="s">
        <v>235</v>
      </c>
      <c r="W16" s="2" t="s">
        <v>236</v>
      </c>
      <c r="X16" s="2" t="s">
        <v>237</v>
      </c>
      <c r="Y16" s="2" t="s">
        <v>238</v>
      </c>
      <c r="Z16" s="2" t="s">
        <v>239</v>
      </c>
      <c r="AA16" s="2" t="s">
        <v>240</v>
      </c>
      <c r="AB16" s="2" t="s">
        <v>51</v>
      </c>
      <c r="AC16" s="2" t="s">
        <v>52</v>
      </c>
      <c r="AD16" s="2" t="s">
        <v>53</v>
      </c>
      <c r="AE16" s="2" t="s">
        <v>54</v>
      </c>
      <c r="AF16" s="2" t="s">
        <v>241</v>
      </c>
      <c r="AG16" s="4">
        <v>46198</v>
      </c>
    </row>
    <row r="17" spans="1:33" ht="15" customHeight="1" x14ac:dyDescent="0.3">
      <c r="A17" s="2" t="s">
        <v>242</v>
      </c>
      <c r="B17" s="2" t="s">
        <v>243</v>
      </c>
      <c r="C17" s="3">
        <v>2025</v>
      </c>
      <c r="D17" s="2" t="s">
        <v>226</v>
      </c>
      <c r="E17" s="2" t="s">
        <v>227</v>
      </c>
      <c r="F17" s="2" t="s">
        <v>228</v>
      </c>
      <c r="G17" s="2" t="s">
        <v>244</v>
      </c>
      <c r="H17" s="2"/>
      <c r="I17" s="2" t="s">
        <v>245</v>
      </c>
      <c r="J17" s="2" t="s">
        <v>215</v>
      </c>
      <c r="K17" s="2" t="s">
        <v>231</v>
      </c>
      <c r="L17" s="4">
        <v>45982</v>
      </c>
      <c r="M17" s="2" t="s">
        <v>40</v>
      </c>
      <c r="N17" s="2" t="s">
        <v>41</v>
      </c>
      <c r="O17" s="2" t="s">
        <v>177</v>
      </c>
      <c r="P17" s="2" t="s">
        <v>43</v>
      </c>
      <c r="Q17" s="2" t="s">
        <v>96</v>
      </c>
      <c r="R17" s="2" t="s">
        <v>232</v>
      </c>
      <c r="S17" s="2" t="s">
        <v>246</v>
      </c>
      <c r="T17" s="2" t="s">
        <v>234</v>
      </c>
      <c r="U17" s="2"/>
      <c r="V17" s="2" t="s">
        <v>247</v>
      </c>
      <c r="W17" s="2" t="s">
        <v>248</v>
      </c>
      <c r="X17" s="2" t="s">
        <v>249</v>
      </c>
      <c r="Y17" s="2" t="s">
        <v>250</v>
      </c>
      <c r="Z17" s="2"/>
      <c r="AA17" s="2" t="s">
        <v>251</v>
      </c>
      <c r="AB17" s="2" t="s">
        <v>51</v>
      </c>
      <c r="AC17" s="2" t="s">
        <v>52</v>
      </c>
      <c r="AD17" s="2" t="s">
        <v>53</v>
      </c>
      <c r="AE17" s="2" t="s">
        <v>54</v>
      </c>
      <c r="AF17" s="2" t="s">
        <v>252</v>
      </c>
      <c r="AG17" s="4">
        <v>46198</v>
      </c>
    </row>
    <row r="18" spans="1:33" ht="15" customHeight="1" x14ac:dyDescent="0.3">
      <c r="A18" s="2" t="s">
        <v>253</v>
      </c>
      <c r="B18" s="2" t="s">
        <v>254</v>
      </c>
      <c r="C18" s="3">
        <v>2025</v>
      </c>
      <c r="D18" s="2" t="s">
        <v>255</v>
      </c>
      <c r="E18" s="2" t="s">
        <v>187</v>
      </c>
      <c r="F18" s="2" t="s">
        <v>256</v>
      </c>
      <c r="G18" s="2" t="s">
        <v>257</v>
      </c>
      <c r="H18" s="2" t="s">
        <v>258</v>
      </c>
      <c r="I18" s="2" t="s">
        <v>259</v>
      </c>
      <c r="J18" s="2" t="s">
        <v>260</v>
      </c>
      <c r="K18" s="2" t="s">
        <v>79</v>
      </c>
      <c r="L18" s="4">
        <v>45968</v>
      </c>
      <c r="M18" s="2" t="s">
        <v>40</v>
      </c>
      <c r="N18" s="2" t="s">
        <v>80</v>
      </c>
      <c r="O18" s="2" t="s">
        <v>177</v>
      </c>
      <c r="P18" s="2" t="s">
        <v>43</v>
      </c>
      <c r="Q18" s="2" t="s">
        <v>96</v>
      </c>
      <c r="R18" s="2"/>
      <c r="S18" s="2" t="s">
        <v>261</v>
      </c>
      <c r="T18" s="2"/>
      <c r="U18" s="2"/>
      <c r="V18" s="2" t="s">
        <v>262</v>
      </c>
      <c r="W18" s="2" t="s">
        <v>263</v>
      </c>
      <c r="X18" s="2" t="s">
        <v>264</v>
      </c>
      <c r="Y18" s="2"/>
      <c r="Z18" s="2"/>
      <c r="AA18" s="2" t="s">
        <v>265</v>
      </c>
      <c r="AB18" s="2" t="s">
        <v>51</v>
      </c>
      <c r="AC18" s="2" t="s">
        <v>52</v>
      </c>
      <c r="AD18" s="2" t="s">
        <v>53</v>
      </c>
      <c r="AE18" s="2" t="s">
        <v>54</v>
      </c>
      <c r="AF18" s="2" t="s">
        <v>266</v>
      </c>
      <c r="AG18" s="4">
        <v>46198</v>
      </c>
    </row>
    <row r="19" spans="1:33" ht="15" customHeight="1" x14ac:dyDescent="0.3">
      <c r="A19" s="2" t="s">
        <v>267</v>
      </c>
      <c r="B19" s="2" t="s">
        <v>268</v>
      </c>
      <c r="C19" s="3">
        <v>2025</v>
      </c>
      <c r="D19" s="2" t="s">
        <v>269</v>
      </c>
      <c r="E19" s="2" t="s">
        <v>270</v>
      </c>
      <c r="F19" s="2" t="s">
        <v>271</v>
      </c>
      <c r="G19" s="2" t="s">
        <v>272</v>
      </c>
      <c r="H19" s="2"/>
      <c r="I19" s="2" t="s">
        <v>273</v>
      </c>
      <c r="J19" s="2" t="s">
        <v>274</v>
      </c>
      <c r="K19" s="2" t="s">
        <v>39</v>
      </c>
      <c r="L19" s="4">
        <v>45973</v>
      </c>
      <c r="M19" s="2" t="s">
        <v>40</v>
      </c>
      <c r="N19" s="2" t="s">
        <v>41</v>
      </c>
      <c r="O19" s="2" t="s">
        <v>177</v>
      </c>
      <c r="P19" s="2" t="s">
        <v>43</v>
      </c>
      <c r="Q19" s="2" t="s">
        <v>96</v>
      </c>
      <c r="R19" s="2"/>
      <c r="S19" s="2" t="s">
        <v>275</v>
      </c>
      <c r="T19" s="2" t="s">
        <v>276</v>
      </c>
      <c r="U19" s="2"/>
      <c r="V19" s="2" t="s">
        <v>277</v>
      </c>
      <c r="W19" s="2" t="s">
        <v>278</v>
      </c>
      <c r="X19" s="2" t="s">
        <v>279</v>
      </c>
      <c r="Y19" s="2" t="s">
        <v>280</v>
      </c>
      <c r="Z19" s="2"/>
      <c r="AA19" s="2" t="s">
        <v>281</v>
      </c>
      <c r="AB19" s="2" t="s">
        <v>51</v>
      </c>
      <c r="AC19" s="2" t="s">
        <v>52</v>
      </c>
      <c r="AD19" s="2" t="s">
        <v>53</v>
      </c>
      <c r="AE19" s="2" t="s">
        <v>54</v>
      </c>
      <c r="AF19" s="2" t="s">
        <v>282</v>
      </c>
      <c r="AG19" s="4">
        <v>46198</v>
      </c>
    </row>
    <row r="20" spans="1:33" ht="15" customHeight="1" x14ac:dyDescent="0.3">
      <c r="A20" s="2" t="s">
        <v>283</v>
      </c>
      <c r="B20" s="2" t="s">
        <v>284</v>
      </c>
      <c r="C20" s="3">
        <v>2025</v>
      </c>
      <c r="D20" s="2" t="s">
        <v>285</v>
      </c>
      <c r="E20" s="2" t="s">
        <v>270</v>
      </c>
      <c r="F20" s="2" t="s">
        <v>271</v>
      </c>
      <c r="G20" s="2" t="s">
        <v>286</v>
      </c>
      <c r="H20" s="2"/>
      <c r="I20" s="2" t="s">
        <v>287</v>
      </c>
      <c r="J20" s="2" t="s">
        <v>274</v>
      </c>
      <c r="K20" s="2" t="s">
        <v>39</v>
      </c>
      <c r="L20" s="4">
        <v>45973</v>
      </c>
      <c r="M20" s="2" t="s">
        <v>40</v>
      </c>
      <c r="N20" s="2" t="s">
        <v>41</v>
      </c>
      <c r="O20" s="2" t="s">
        <v>177</v>
      </c>
      <c r="P20" s="2" t="s">
        <v>43</v>
      </c>
      <c r="Q20" s="2" t="s">
        <v>96</v>
      </c>
      <c r="R20" s="2"/>
      <c r="S20" s="2" t="s">
        <v>275</v>
      </c>
      <c r="T20" s="2" t="s">
        <v>276</v>
      </c>
      <c r="U20" s="2"/>
      <c r="V20" s="2" t="s">
        <v>277</v>
      </c>
      <c r="W20" s="2" t="s">
        <v>288</v>
      </c>
      <c r="X20" s="2" t="s">
        <v>289</v>
      </c>
      <c r="Y20" s="2" t="s">
        <v>290</v>
      </c>
      <c r="Z20" s="2"/>
      <c r="AA20" s="2" t="s">
        <v>291</v>
      </c>
      <c r="AB20" s="2" t="s">
        <v>51</v>
      </c>
      <c r="AC20" s="2" t="s">
        <v>52</v>
      </c>
      <c r="AD20" s="2" t="s">
        <v>53</v>
      </c>
      <c r="AE20" s="2" t="s">
        <v>54</v>
      </c>
      <c r="AF20" s="2" t="s">
        <v>292</v>
      </c>
      <c r="AG20" s="4">
        <v>46198</v>
      </c>
    </row>
    <row r="21" spans="1:33" ht="15" customHeight="1" x14ac:dyDescent="0.3">
      <c r="A21" s="2" t="s">
        <v>293</v>
      </c>
      <c r="B21" s="2" t="s">
        <v>294</v>
      </c>
      <c r="C21" s="3">
        <v>2025</v>
      </c>
      <c r="D21" s="2" t="s">
        <v>285</v>
      </c>
      <c r="E21" s="2" t="s">
        <v>270</v>
      </c>
      <c r="F21" s="2" t="s">
        <v>271</v>
      </c>
      <c r="G21" s="2" t="s">
        <v>295</v>
      </c>
      <c r="H21" s="2"/>
      <c r="I21" s="2" t="s">
        <v>296</v>
      </c>
      <c r="J21" s="2" t="s">
        <v>274</v>
      </c>
      <c r="K21" s="2" t="s">
        <v>39</v>
      </c>
      <c r="L21" s="4">
        <v>45973</v>
      </c>
      <c r="M21" s="2" t="s">
        <v>40</v>
      </c>
      <c r="N21" s="2" t="s">
        <v>41</v>
      </c>
      <c r="O21" s="2" t="s">
        <v>177</v>
      </c>
      <c r="P21" s="2" t="s">
        <v>43</v>
      </c>
      <c r="Q21" s="2" t="s">
        <v>96</v>
      </c>
      <c r="R21" s="2"/>
      <c r="S21" s="2" t="s">
        <v>275</v>
      </c>
      <c r="T21" s="2" t="s">
        <v>276</v>
      </c>
      <c r="U21" s="2"/>
      <c r="V21" s="2" t="s">
        <v>277</v>
      </c>
      <c r="W21" s="2" t="s">
        <v>297</v>
      </c>
      <c r="X21" s="2" t="s">
        <v>289</v>
      </c>
      <c r="Y21" s="2" t="s">
        <v>298</v>
      </c>
      <c r="Z21" s="2"/>
      <c r="AA21" s="2" t="s">
        <v>299</v>
      </c>
      <c r="AB21" s="2" t="s">
        <v>51</v>
      </c>
      <c r="AC21" s="2" t="s">
        <v>52</v>
      </c>
      <c r="AD21" s="2" t="s">
        <v>53</v>
      </c>
      <c r="AE21" s="2" t="s">
        <v>54</v>
      </c>
      <c r="AF21" s="2" t="s">
        <v>300</v>
      </c>
      <c r="AG21" s="4">
        <v>46198</v>
      </c>
    </row>
    <row r="22" spans="1:33" ht="15" customHeight="1" x14ac:dyDescent="0.3">
      <c r="A22" s="2" t="s">
        <v>301</v>
      </c>
      <c r="B22" s="2" t="s">
        <v>302</v>
      </c>
      <c r="C22" s="3">
        <v>2025</v>
      </c>
      <c r="D22" s="2" t="s">
        <v>285</v>
      </c>
      <c r="E22" s="2" t="s">
        <v>270</v>
      </c>
      <c r="F22" s="2" t="s">
        <v>271</v>
      </c>
      <c r="G22" s="2" t="s">
        <v>303</v>
      </c>
      <c r="H22" s="2"/>
      <c r="I22" s="2" t="s">
        <v>304</v>
      </c>
      <c r="J22" s="2" t="s">
        <v>274</v>
      </c>
      <c r="K22" s="2" t="s">
        <v>39</v>
      </c>
      <c r="L22" s="4">
        <v>45973</v>
      </c>
      <c r="M22" s="2" t="s">
        <v>40</v>
      </c>
      <c r="N22" s="2" t="s">
        <v>41</v>
      </c>
      <c r="O22" s="2" t="s">
        <v>177</v>
      </c>
      <c r="P22" s="2" t="s">
        <v>43</v>
      </c>
      <c r="Q22" s="2" t="s">
        <v>96</v>
      </c>
      <c r="R22" s="2"/>
      <c r="S22" s="2" t="s">
        <v>275</v>
      </c>
      <c r="T22" s="2" t="s">
        <v>276</v>
      </c>
      <c r="U22" s="2"/>
      <c r="V22" s="2" t="s">
        <v>277</v>
      </c>
      <c r="W22" s="2" t="s">
        <v>305</v>
      </c>
      <c r="X22" s="2" t="s">
        <v>289</v>
      </c>
      <c r="Y22" s="2" t="s">
        <v>306</v>
      </c>
      <c r="Z22" s="2"/>
      <c r="AA22" s="2" t="s">
        <v>307</v>
      </c>
      <c r="AB22" s="2" t="s">
        <v>51</v>
      </c>
      <c r="AC22" s="2" t="s">
        <v>52</v>
      </c>
      <c r="AD22" s="2" t="s">
        <v>53</v>
      </c>
      <c r="AE22" s="2" t="s">
        <v>54</v>
      </c>
      <c r="AF22" s="2" t="s">
        <v>308</v>
      </c>
      <c r="AG22" s="4">
        <v>46198</v>
      </c>
    </row>
    <row r="23" spans="1:33" ht="15" customHeight="1" x14ac:dyDescent="0.3">
      <c r="A23" s="2" t="s">
        <v>309</v>
      </c>
      <c r="B23" s="2" t="s">
        <v>310</v>
      </c>
      <c r="C23" s="3">
        <v>2025</v>
      </c>
      <c r="D23" s="2" t="s">
        <v>311</v>
      </c>
      <c r="E23" s="2" t="s">
        <v>312</v>
      </c>
      <c r="F23" s="2" t="s">
        <v>313</v>
      </c>
      <c r="G23" s="2"/>
      <c r="H23" s="2"/>
      <c r="I23" s="2" t="s">
        <v>124</v>
      </c>
      <c r="J23" s="2"/>
      <c r="K23" s="2" t="s">
        <v>314</v>
      </c>
      <c r="L23" s="4">
        <v>45972</v>
      </c>
      <c r="M23" s="2" t="s">
        <v>40</v>
      </c>
      <c r="N23" s="2" t="s">
        <v>176</v>
      </c>
      <c r="O23" s="2" t="s">
        <v>177</v>
      </c>
      <c r="P23" s="2" t="s">
        <v>43</v>
      </c>
      <c r="Q23" s="2" t="s">
        <v>96</v>
      </c>
      <c r="R23" s="2"/>
      <c r="S23" s="2" t="s">
        <v>315</v>
      </c>
      <c r="T23" s="2"/>
      <c r="U23" s="2"/>
      <c r="V23" s="2" t="s">
        <v>316</v>
      </c>
      <c r="W23" s="2" t="s">
        <v>317</v>
      </c>
      <c r="X23" s="2" t="s">
        <v>318</v>
      </c>
      <c r="Y23" s="2" t="s">
        <v>319</v>
      </c>
      <c r="Z23" s="2"/>
      <c r="AA23" s="2" t="s">
        <v>320</v>
      </c>
      <c r="AB23" s="2" t="s">
        <v>51</v>
      </c>
      <c r="AC23" s="2" t="s">
        <v>52</v>
      </c>
      <c r="AD23" s="2" t="s">
        <v>53</v>
      </c>
      <c r="AE23" s="2" t="s">
        <v>54</v>
      </c>
      <c r="AF23" s="2" t="s">
        <v>321</v>
      </c>
      <c r="AG23" s="4">
        <v>46198</v>
      </c>
    </row>
    <row r="24" spans="1:33" ht="15" customHeight="1" x14ac:dyDescent="0.3">
      <c r="A24" s="2" t="s">
        <v>322</v>
      </c>
      <c r="B24" s="2" t="s">
        <v>323</v>
      </c>
      <c r="C24" s="3">
        <v>2025</v>
      </c>
      <c r="D24" s="2" t="s">
        <v>324</v>
      </c>
      <c r="E24" s="2" t="s">
        <v>325</v>
      </c>
      <c r="F24" s="2" t="s">
        <v>326</v>
      </c>
      <c r="G24" s="2"/>
      <c r="H24" s="2"/>
      <c r="I24" s="2" t="s">
        <v>327</v>
      </c>
      <c r="J24" s="2" t="s">
        <v>95</v>
      </c>
      <c r="K24" s="2" t="s">
        <v>328</v>
      </c>
      <c r="L24" s="4">
        <v>45964</v>
      </c>
      <c r="M24" s="2" t="s">
        <v>40</v>
      </c>
      <c r="N24" s="2" t="s">
        <v>41</v>
      </c>
      <c r="O24" s="2" t="s">
        <v>177</v>
      </c>
      <c r="P24" s="2" t="s">
        <v>43</v>
      </c>
      <c r="Q24" s="2" t="s">
        <v>191</v>
      </c>
      <c r="R24" s="2"/>
      <c r="S24" s="2" t="s">
        <v>192</v>
      </c>
      <c r="T24" s="2"/>
      <c r="U24" s="2"/>
      <c r="V24" s="2" t="s">
        <v>329</v>
      </c>
      <c r="W24" s="2" t="s">
        <v>330</v>
      </c>
      <c r="X24" s="2" t="s">
        <v>331</v>
      </c>
      <c r="Y24" s="2"/>
      <c r="Z24" s="2"/>
      <c r="AA24" s="2" t="s">
        <v>332</v>
      </c>
      <c r="AB24" s="2" t="s">
        <v>51</v>
      </c>
      <c r="AC24" s="2" t="s">
        <v>52</v>
      </c>
      <c r="AD24" s="2" t="s">
        <v>53</v>
      </c>
      <c r="AE24" s="2" t="s">
        <v>54</v>
      </c>
      <c r="AF24" s="2" t="s">
        <v>333</v>
      </c>
      <c r="AG24" s="4">
        <v>46198</v>
      </c>
    </row>
    <row r="25" spans="1:33" ht="15" customHeight="1" x14ac:dyDescent="0.3">
      <c r="A25" s="2" t="s">
        <v>334</v>
      </c>
      <c r="B25" s="2" t="s">
        <v>335</v>
      </c>
      <c r="C25" s="3">
        <v>2025</v>
      </c>
      <c r="D25" s="2" t="s">
        <v>336</v>
      </c>
      <c r="E25" s="2" t="s">
        <v>337</v>
      </c>
      <c r="F25" s="2" t="s">
        <v>338</v>
      </c>
      <c r="G25" s="2"/>
      <c r="H25" s="2"/>
      <c r="I25" s="2" t="s">
        <v>339</v>
      </c>
      <c r="J25" s="2"/>
      <c r="K25" s="2" t="s">
        <v>79</v>
      </c>
      <c r="L25" s="4">
        <v>45966</v>
      </c>
      <c r="M25" s="2" t="s">
        <v>40</v>
      </c>
      <c r="N25" s="2" t="s">
        <v>41</v>
      </c>
      <c r="O25" s="2" t="s">
        <v>177</v>
      </c>
      <c r="P25" s="2" t="s">
        <v>43</v>
      </c>
      <c r="Q25" s="2" t="s">
        <v>191</v>
      </c>
      <c r="R25" s="2"/>
      <c r="S25" s="2" t="s">
        <v>192</v>
      </c>
      <c r="T25" s="2"/>
      <c r="U25" s="2"/>
      <c r="V25" s="2" t="s">
        <v>340</v>
      </c>
      <c r="W25" s="2" t="s">
        <v>341</v>
      </c>
      <c r="X25" s="2" t="s">
        <v>342</v>
      </c>
      <c r="Y25" s="2" t="s">
        <v>343</v>
      </c>
      <c r="Z25" s="2"/>
      <c r="AA25" s="2" t="s">
        <v>344</v>
      </c>
      <c r="AB25" s="2" t="s">
        <v>51</v>
      </c>
      <c r="AC25" s="2" t="s">
        <v>52</v>
      </c>
      <c r="AD25" s="2" t="s">
        <v>53</v>
      </c>
      <c r="AE25" s="2" t="s">
        <v>54</v>
      </c>
      <c r="AF25" s="2" t="s">
        <v>345</v>
      </c>
      <c r="AG25" s="4">
        <v>46198</v>
      </c>
    </row>
    <row r="26" spans="1:33" ht="15" customHeight="1" x14ac:dyDescent="0.3">
      <c r="A26" s="2" t="s">
        <v>346</v>
      </c>
      <c r="B26" s="2" t="s">
        <v>335</v>
      </c>
      <c r="C26" s="3">
        <v>2025</v>
      </c>
      <c r="D26" s="2" t="s">
        <v>336</v>
      </c>
      <c r="E26" s="2" t="s">
        <v>337</v>
      </c>
      <c r="F26" s="2" t="s">
        <v>338</v>
      </c>
      <c r="G26" s="2"/>
      <c r="H26" s="2"/>
      <c r="I26" s="2" t="s">
        <v>339</v>
      </c>
      <c r="J26" s="2"/>
      <c r="K26" s="2" t="s">
        <v>79</v>
      </c>
      <c r="L26" s="4">
        <v>45966</v>
      </c>
      <c r="M26" s="2" t="s">
        <v>40</v>
      </c>
      <c r="N26" s="2" t="s">
        <v>41</v>
      </c>
      <c r="O26" s="2" t="s">
        <v>177</v>
      </c>
      <c r="P26" s="2" t="s">
        <v>43</v>
      </c>
      <c r="Q26" s="2" t="s">
        <v>191</v>
      </c>
      <c r="R26" s="2"/>
      <c r="S26" s="2" t="s">
        <v>192</v>
      </c>
      <c r="T26" s="2"/>
      <c r="U26" s="2"/>
      <c r="V26" s="2" t="s">
        <v>340</v>
      </c>
      <c r="W26" s="2" t="s">
        <v>341</v>
      </c>
      <c r="X26" s="2" t="s">
        <v>342</v>
      </c>
      <c r="Y26" s="2" t="s">
        <v>343</v>
      </c>
      <c r="Z26" s="2"/>
      <c r="AA26" s="2" t="s">
        <v>347</v>
      </c>
      <c r="AB26" s="2" t="s">
        <v>51</v>
      </c>
      <c r="AC26" s="2" t="s">
        <v>52</v>
      </c>
      <c r="AD26" s="2" t="s">
        <v>348</v>
      </c>
      <c r="AE26" s="2" t="s">
        <v>54</v>
      </c>
      <c r="AF26" s="2" t="s">
        <v>349</v>
      </c>
      <c r="AG26" s="4">
        <v>46198</v>
      </c>
    </row>
    <row r="27" spans="1:33" ht="15" customHeight="1" x14ac:dyDescent="0.3">
      <c r="A27" s="2" t="s">
        <v>350</v>
      </c>
      <c r="B27" s="2" t="s">
        <v>351</v>
      </c>
      <c r="C27" s="3">
        <v>2025</v>
      </c>
      <c r="D27" s="2" t="s">
        <v>352</v>
      </c>
      <c r="E27" s="2" t="s">
        <v>353</v>
      </c>
      <c r="F27" s="2" t="s">
        <v>354</v>
      </c>
      <c r="G27" s="2" t="s">
        <v>355</v>
      </c>
      <c r="H27" s="2"/>
      <c r="I27" s="2" t="s">
        <v>356</v>
      </c>
      <c r="J27" s="2" t="s">
        <v>357</v>
      </c>
      <c r="K27" s="2" t="s">
        <v>231</v>
      </c>
      <c r="L27" s="4">
        <v>45978</v>
      </c>
      <c r="M27" s="2" t="s">
        <v>40</v>
      </c>
      <c r="N27" s="2" t="s">
        <v>80</v>
      </c>
      <c r="O27" s="2" t="s">
        <v>358</v>
      </c>
      <c r="P27" s="2" t="s">
        <v>43</v>
      </c>
      <c r="Q27" s="2" t="s">
        <v>96</v>
      </c>
      <c r="R27" s="2"/>
      <c r="S27" s="2" t="s">
        <v>359</v>
      </c>
      <c r="T27" s="2"/>
      <c r="U27" s="2"/>
      <c r="V27" s="2" t="s">
        <v>360</v>
      </c>
      <c r="W27" s="2" t="s">
        <v>361</v>
      </c>
      <c r="X27" s="2" t="s">
        <v>362</v>
      </c>
      <c r="Y27" s="2" t="s">
        <v>363</v>
      </c>
      <c r="Z27" s="2"/>
      <c r="AA27" s="2" t="s">
        <v>364</v>
      </c>
      <c r="AB27" s="2" t="s">
        <v>51</v>
      </c>
      <c r="AC27" s="2" t="s">
        <v>52</v>
      </c>
      <c r="AD27" s="2" t="s">
        <v>53</v>
      </c>
      <c r="AE27" s="2" t="s">
        <v>54</v>
      </c>
      <c r="AF27" s="2" t="s">
        <v>365</v>
      </c>
      <c r="AG27" s="4">
        <v>46198</v>
      </c>
    </row>
    <row r="28" spans="1:33" ht="15" customHeight="1" x14ac:dyDescent="0.3">
      <c r="A28" s="2" t="s">
        <v>366</v>
      </c>
      <c r="B28" s="2" t="s">
        <v>367</v>
      </c>
      <c r="C28" s="3">
        <v>2025</v>
      </c>
      <c r="D28" s="2" t="s">
        <v>352</v>
      </c>
      <c r="E28" s="2" t="s">
        <v>353</v>
      </c>
      <c r="F28" s="2" t="s">
        <v>354</v>
      </c>
      <c r="G28" s="2" t="s">
        <v>368</v>
      </c>
      <c r="H28" s="2"/>
      <c r="I28" s="2" t="s">
        <v>369</v>
      </c>
      <c r="J28" s="2" t="s">
        <v>357</v>
      </c>
      <c r="K28" s="2" t="s">
        <v>231</v>
      </c>
      <c r="L28" s="4">
        <v>45978</v>
      </c>
      <c r="M28" s="2" t="s">
        <v>40</v>
      </c>
      <c r="N28" s="2" t="s">
        <v>80</v>
      </c>
      <c r="O28" s="2" t="s">
        <v>358</v>
      </c>
      <c r="P28" s="2" t="s">
        <v>43</v>
      </c>
      <c r="Q28" s="2" t="s">
        <v>96</v>
      </c>
      <c r="R28" s="2"/>
      <c r="S28" s="2" t="s">
        <v>359</v>
      </c>
      <c r="T28" s="2"/>
      <c r="U28" s="2"/>
      <c r="V28" s="2" t="s">
        <v>360</v>
      </c>
      <c r="W28" s="2" t="s">
        <v>370</v>
      </c>
      <c r="X28" s="2" t="s">
        <v>371</v>
      </c>
      <c r="Y28" s="2" t="s">
        <v>372</v>
      </c>
      <c r="Z28" s="2"/>
      <c r="AA28" s="2" t="s">
        <v>373</v>
      </c>
      <c r="AB28" s="2" t="s">
        <v>51</v>
      </c>
      <c r="AC28" s="2" t="s">
        <v>52</v>
      </c>
      <c r="AD28" s="2" t="s">
        <v>53</v>
      </c>
      <c r="AE28" s="2" t="s">
        <v>54</v>
      </c>
      <c r="AF28" s="2" t="s">
        <v>374</v>
      </c>
      <c r="AG28" s="4">
        <v>46198</v>
      </c>
    </row>
    <row r="29" spans="1:33" ht="15" customHeight="1" x14ac:dyDescent="0.3">
      <c r="A29" s="2" t="s">
        <v>375</v>
      </c>
      <c r="B29" s="2" t="s">
        <v>376</v>
      </c>
      <c r="C29" s="3">
        <v>2025</v>
      </c>
      <c r="D29" s="2" t="s">
        <v>352</v>
      </c>
      <c r="E29" s="2" t="s">
        <v>353</v>
      </c>
      <c r="F29" s="2" t="s">
        <v>354</v>
      </c>
      <c r="G29" s="2" t="s">
        <v>377</v>
      </c>
      <c r="H29" s="2"/>
      <c r="I29" s="2" t="s">
        <v>378</v>
      </c>
      <c r="J29" s="2" t="s">
        <v>357</v>
      </c>
      <c r="K29" s="2" t="s">
        <v>231</v>
      </c>
      <c r="L29" s="4">
        <v>45978</v>
      </c>
      <c r="M29" s="2" t="s">
        <v>40</v>
      </c>
      <c r="N29" s="2" t="s">
        <v>80</v>
      </c>
      <c r="O29" s="2" t="s">
        <v>358</v>
      </c>
      <c r="P29" s="2" t="s">
        <v>43</v>
      </c>
      <c r="Q29" s="2" t="s">
        <v>96</v>
      </c>
      <c r="R29" s="2"/>
      <c r="S29" s="2" t="s">
        <v>359</v>
      </c>
      <c r="T29" s="2"/>
      <c r="U29" s="2"/>
      <c r="V29" s="2" t="s">
        <v>379</v>
      </c>
      <c r="W29" s="2" t="s">
        <v>380</v>
      </c>
      <c r="X29" s="2" t="s">
        <v>371</v>
      </c>
      <c r="Y29" s="2" t="s">
        <v>381</v>
      </c>
      <c r="Z29" s="2"/>
      <c r="AA29" s="2" t="s">
        <v>382</v>
      </c>
      <c r="AB29" s="2" t="s">
        <v>51</v>
      </c>
      <c r="AC29" s="2" t="s">
        <v>52</v>
      </c>
      <c r="AD29" s="2" t="s">
        <v>53</v>
      </c>
      <c r="AE29" s="2" t="s">
        <v>54</v>
      </c>
      <c r="AF29" s="2" t="s">
        <v>383</v>
      </c>
      <c r="AG29" s="4">
        <v>46198</v>
      </c>
    </row>
    <row r="30" spans="1:33" ht="15" customHeight="1" x14ac:dyDescent="0.3">
      <c r="A30" s="2" t="s">
        <v>384</v>
      </c>
      <c r="B30" s="2" t="s">
        <v>385</v>
      </c>
      <c r="C30" s="3">
        <v>2025</v>
      </c>
      <c r="D30" s="2" t="s">
        <v>352</v>
      </c>
      <c r="E30" s="2" t="s">
        <v>353</v>
      </c>
      <c r="F30" s="2" t="s">
        <v>354</v>
      </c>
      <c r="G30" s="2" t="s">
        <v>386</v>
      </c>
      <c r="H30" s="2"/>
      <c r="I30" s="2" t="s">
        <v>387</v>
      </c>
      <c r="J30" s="2" t="s">
        <v>357</v>
      </c>
      <c r="K30" s="2" t="s">
        <v>231</v>
      </c>
      <c r="L30" s="4">
        <v>45978</v>
      </c>
      <c r="M30" s="2" t="s">
        <v>40</v>
      </c>
      <c r="N30" s="2" t="s">
        <v>80</v>
      </c>
      <c r="O30" s="2" t="s">
        <v>358</v>
      </c>
      <c r="P30" s="2" t="s">
        <v>43</v>
      </c>
      <c r="Q30" s="2" t="s">
        <v>96</v>
      </c>
      <c r="R30" s="2"/>
      <c r="S30" s="2" t="s">
        <v>359</v>
      </c>
      <c r="T30" s="2"/>
      <c r="U30" s="2"/>
      <c r="V30" s="2" t="s">
        <v>388</v>
      </c>
      <c r="W30" s="2" t="s">
        <v>389</v>
      </c>
      <c r="X30" s="2" t="s">
        <v>371</v>
      </c>
      <c r="Y30" s="2" t="s">
        <v>390</v>
      </c>
      <c r="Z30" s="2"/>
      <c r="AA30" s="2" t="s">
        <v>391</v>
      </c>
      <c r="AB30" s="2" t="s">
        <v>51</v>
      </c>
      <c r="AC30" s="2" t="s">
        <v>52</v>
      </c>
      <c r="AD30" s="2" t="s">
        <v>53</v>
      </c>
      <c r="AE30" s="2" t="s">
        <v>54</v>
      </c>
      <c r="AF30" s="2" t="s">
        <v>392</v>
      </c>
      <c r="AG30" s="4">
        <v>46198</v>
      </c>
    </row>
    <row r="31" spans="1:33" ht="15" customHeight="1" x14ac:dyDescent="0.3">
      <c r="A31" s="2" t="s">
        <v>393</v>
      </c>
      <c r="B31" s="2" t="s">
        <v>394</v>
      </c>
      <c r="C31" s="3">
        <v>2025</v>
      </c>
      <c r="D31" s="2" t="s">
        <v>395</v>
      </c>
      <c r="E31" s="2" t="s">
        <v>74</v>
      </c>
      <c r="F31" s="2" t="s">
        <v>396</v>
      </c>
      <c r="G31" s="2"/>
      <c r="H31" s="2" t="s">
        <v>397</v>
      </c>
      <c r="I31" s="2" t="s">
        <v>398</v>
      </c>
      <c r="J31" s="2" t="s">
        <v>399</v>
      </c>
      <c r="K31" s="2" t="s">
        <v>175</v>
      </c>
      <c r="L31" s="4">
        <v>45966</v>
      </c>
      <c r="M31" s="2" t="s">
        <v>40</v>
      </c>
      <c r="N31" s="2" t="s">
        <v>176</v>
      </c>
      <c r="O31" s="2" t="s">
        <v>202</v>
      </c>
      <c r="P31" s="2"/>
      <c r="Q31" s="2"/>
      <c r="R31" s="2"/>
      <c r="S31" s="2" t="s">
        <v>400</v>
      </c>
      <c r="T31" s="2"/>
      <c r="U31" s="2"/>
      <c r="V31" s="2" t="s">
        <v>401</v>
      </c>
      <c r="W31" s="2" t="s">
        <v>402</v>
      </c>
      <c r="X31" s="2" t="s">
        <v>403</v>
      </c>
      <c r="Y31" s="2" t="s">
        <v>404</v>
      </c>
      <c r="Z31" s="2"/>
      <c r="AA31" s="2" t="s">
        <v>405</v>
      </c>
      <c r="AB31" s="2" t="s">
        <v>51</v>
      </c>
      <c r="AC31" s="2" t="s">
        <v>52</v>
      </c>
      <c r="AD31" s="2" t="s">
        <v>53</v>
      </c>
      <c r="AE31" s="2" t="s">
        <v>54</v>
      </c>
      <c r="AF31" s="2" t="s">
        <v>406</v>
      </c>
      <c r="AG31" s="4">
        <v>46198</v>
      </c>
    </row>
    <row r="32" spans="1:33" ht="15" customHeight="1" x14ac:dyDescent="0.3">
      <c r="A32" s="2" t="s">
        <v>407</v>
      </c>
      <c r="B32" s="2" t="s">
        <v>394</v>
      </c>
      <c r="C32" s="3">
        <v>2025</v>
      </c>
      <c r="D32" s="2" t="s">
        <v>395</v>
      </c>
      <c r="E32" s="2" t="s">
        <v>74</v>
      </c>
      <c r="F32" s="2" t="s">
        <v>396</v>
      </c>
      <c r="G32" s="2"/>
      <c r="H32" s="2" t="s">
        <v>397</v>
      </c>
      <c r="I32" s="2" t="s">
        <v>398</v>
      </c>
      <c r="J32" s="2" t="s">
        <v>399</v>
      </c>
      <c r="K32" s="2" t="s">
        <v>175</v>
      </c>
      <c r="L32" s="4">
        <v>45966</v>
      </c>
      <c r="M32" s="2" t="s">
        <v>40</v>
      </c>
      <c r="N32" s="2" t="s">
        <v>176</v>
      </c>
      <c r="O32" s="2" t="s">
        <v>202</v>
      </c>
      <c r="P32" s="2"/>
      <c r="Q32" s="2"/>
      <c r="R32" s="2"/>
      <c r="S32" s="2" t="s">
        <v>400</v>
      </c>
      <c r="T32" s="2"/>
      <c r="U32" s="2"/>
      <c r="V32" s="2" t="s">
        <v>401</v>
      </c>
      <c r="W32" s="2" t="s">
        <v>402</v>
      </c>
      <c r="X32" s="2" t="s">
        <v>403</v>
      </c>
      <c r="Y32" s="2" t="s">
        <v>408</v>
      </c>
      <c r="Z32" s="2"/>
      <c r="AA32" s="2" t="s">
        <v>409</v>
      </c>
      <c r="AB32" s="2" t="s">
        <v>51</v>
      </c>
      <c r="AC32" s="2" t="s">
        <v>52</v>
      </c>
      <c r="AD32" s="2" t="s">
        <v>348</v>
      </c>
      <c r="AE32" s="2" t="s">
        <v>54</v>
      </c>
      <c r="AF32" s="2" t="s">
        <v>410</v>
      </c>
      <c r="AG32" s="4">
        <v>46198</v>
      </c>
    </row>
    <row r="33" spans="1:33" ht="15" customHeight="1" x14ac:dyDescent="0.3">
      <c r="A33" s="2" t="s">
        <v>411</v>
      </c>
      <c r="B33" s="2" t="s">
        <v>412</v>
      </c>
      <c r="C33" s="3">
        <v>2025</v>
      </c>
      <c r="D33" s="2" t="s">
        <v>413</v>
      </c>
      <c r="E33" s="2" t="s">
        <v>414</v>
      </c>
      <c r="F33" s="2" t="s">
        <v>415</v>
      </c>
      <c r="G33" s="2" t="s">
        <v>416</v>
      </c>
      <c r="H33" s="2" t="s">
        <v>417</v>
      </c>
      <c r="I33" s="2" t="s">
        <v>418</v>
      </c>
      <c r="J33" s="2" t="s">
        <v>95</v>
      </c>
      <c r="K33" s="2" t="s">
        <v>175</v>
      </c>
      <c r="L33" s="4">
        <v>45984</v>
      </c>
      <c r="M33" s="2" t="s">
        <v>40</v>
      </c>
      <c r="N33" s="2" t="s">
        <v>176</v>
      </c>
      <c r="O33" s="2" t="s">
        <v>202</v>
      </c>
      <c r="P33" s="2" t="s">
        <v>43</v>
      </c>
      <c r="Q33" s="2" t="s">
        <v>96</v>
      </c>
      <c r="R33" s="2"/>
      <c r="S33" s="2" t="s">
        <v>419</v>
      </c>
      <c r="T33" s="2"/>
      <c r="U33" s="2"/>
      <c r="V33" s="2" t="s">
        <v>420</v>
      </c>
      <c r="W33" s="2" t="s">
        <v>421</v>
      </c>
      <c r="X33" s="2" t="s">
        <v>422</v>
      </c>
      <c r="Y33" s="2" t="s">
        <v>423</v>
      </c>
      <c r="Z33" s="2"/>
      <c r="AA33" s="2" t="s">
        <v>424</v>
      </c>
      <c r="AB33" s="2" t="s">
        <v>51</v>
      </c>
      <c r="AC33" s="2" t="s">
        <v>52</v>
      </c>
      <c r="AD33" s="2" t="s">
        <v>53</v>
      </c>
      <c r="AE33" s="2" t="s">
        <v>54</v>
      </c>
      <c r="AF33" s="2" t="s">
        <v>425</v>
      </c>
      <c r="AG33" s="4">
        <v>46198</v>
      </c>
    </row>
    <row r="34" spans="1:33" ht="15" customHeight="1" x14ac:dyDescent="0.3">
      <c r="A34" s="2" t="s">
        <v>426</v>
      </c>
      <c r="B34" s="2" t="s">
        <v>427</v>
      </c>
      <c r="C34" s="3">
        <v>2025</v>
      </c>
      <c r="D34" s="2" t="s">
        <v>413</v>
      </c>
      <c r="E34" s="2" t="s">
        <v>414</v>
      </c>
      <c r="F34" s="2" t="s">
        <v>415</v>
      </c>
      <c r="G34" s="2" t="s">
        <v>428</v>
      </c>
      <c r="H34" s="2" t="s">
        <v>429</v>
      </c>
      <c r="I34" s="2"/>
      <c r="J34" s="2" t="s">
        <v>95</v>
      </c>
      <c r="K34" s="2" t="s">
        <v>175</v>
      </c>
      <c r="L34" s="4">
        <v>45988</v>
      </c>
      <c r="M34" s="2" t="s">
        <v>40</v>
      </c>
      <c r="N34" s="2" t="s">
        <v>80</v>
      </c>
      <c r="O34" s="2" t="s">
        <v>202</v>
      </c>
      <c r="P34" s="2" t="s">
        <v>43</v>
      </c>
      <c r="Q34" s="2" t="s">
        <v>96</v>
      </c>
      <c r="R34" s="2"/>
      <c r="S34" s="2" t="s">
        <v>430</v>
      </c>
      <c r="T34" s="2"/>
      <c r="U34" s="2"/>
      <c r="V34" s="2" t="s">
        <v>431</v>
      </c>
      <c r="W34" s="2" t="s">
        <v>432</v>
      </c>
      <c r="X34" s="2" t="s">
        <v>433</v>
      </c>
      <c r="Y34" s="2" t="s">
        <v>434</v>
      </c>
      <c r="Z34" s="2"/>
      <c r="AA34" s="2" t="s">
        <v>435</v>
      </c>
      <c r="AB34" s="2" t="s">
        <v>51</v>
      </c>
      <c r="AC34" s="2" t="s">
        <v>52</v>
      </c>
      <c r="AD34" s="2" t="s">
        <v>53</v>
      </c>
      <c r="AE34" s="2" t="s">
        <v>54</v>
      </c>
      <c r="AF34" s="2" t="s">
        <v>436</v>
      </c>
      <c r="AG34" s="4">
        <v>46198</v>
      </c>
    </row>
    <row r="35" spans="1:33" ht="15" customHeight="1" x14ac:dyDescent="0.3">
      <c r="A35" s="2" t="s">
        <v>437</v>
      </c>
      <c r="B35" s="2" t="s">
        <v>438</v>
      </c>
      <c r="C35" s="3">
        <v>2025</v>
      </c>
      <c r="D35" s="2" t="s">
        <v>439</v>
      </c>
      <c r="E35" s="2" t="s">
        <v>440</v>
      </c>
      <c r="F35" s="2" t="s">
        <v>441</v>
      </c>
      <c r="G35" s="2" t="s">
        <v>442</v>
      </c>
      <c r="H35" s="2" t="s">
        <v>443</v>
      </c>
      <c r="I35" s="2" t="s">
        <v>444</v>
      </c>
      <c r="J35" s="2" t="s">
        <v>445</v>
      </c>
      <c r="K35" s="2" t="s">
        <v>231</v>
      </c>
      <c r="L35" s="4">
        <v>45989</v>
      </c>
      <c r="M35" s="2" t="s">
        <v>40</v>
      </c>
      <c r="N35" s="2" t="s">
        <v>80</v>
      </c>
      <c r="O35" s="2" t="s">
        <v>177</v>
      </c>
      <c r="P35" s="2" t="s">
        <v>446</v>
      </c>
      <c r="Q35" s="2" t="s">
        <v>191</v>
      </c>
      <c r="R35" s="2"/>
      <c r="S35" s="2" t="s">
        <v>192</v>
      </c>
      <c r="T35" s="2"/>
      <c r="U35" s="2"/>
      <c r="V35" s="2" t="s">
        <v>447</v>
      </c>
      <c r="W35" s="2" t="s">
        <v>448</v>
      </c>
      <c r="X35" s="2" t="s">
        <v>449</v>
      </c>
      <c r="Y35" s="2" t="s">
        <v>450</v>
      </c>
      <c r="Z35" s="2"/>
      <c r="AA35" s="2" t="s">
        <v>451</v>
      </c>
      <c r="AB35" s="2" t="s">
        <v>51</v>
      </c>
      <c r="AC35" s="2" t="s">
        <v>52</v>
      </c>
      <c r="AD35" s="2" t="s">
        <v>53</v>
      </c>
      <c r="AE35" s="2" t="s">
        <v>54</v>
      </c>
      <c r="AF35" s="2" t="s">
        <v>452</v>
      </c>
      <c r="AG35" s="4">
        <v>46198</v>
      </c>
    </row>
    <row r="36" spans="1:33" ht="15" customHeight="1" x14ac:dyDescent="0.3">
      <c r="A36" s="2" t="s">
        <v>453</v>
      </c>
      <c r="B36" s="2" t="s">
        <v>454</v>
      </c>
      <c r="C36" s="3">
        <v>2025</v>
      </c>
      <c r="D36" s="2" t="s">
        <v>439</v>
      </c>
      <c r="E36" s="2" t="s">
        <v>440</v>
      </c>
      <c r="F36" s="2" t="s">
        <v>441</v>
      </c>
      <c r="G36" s="2" t="s">
        <v>455</v>
      </c>
      <c r="H36" s="2" t="s">
        <v>443</v>
      </c>
      <c r="I36" s="2" t="s">
        <v>456</v>
      </c>
      <c r="J36" s="2" t="s">
        <v>445</v>
      </c>
      <c r="K36" s="2" t="s">
        <v>231</v>
      </c>
      <c r="L36" s="4">
        <v>45989</v>
      </c>
      <c r="M36" s="2" t="s">
        <v>40</v>
      </c>
      <c r="N36" s="2" t="s">
        <v>80</v>
      </c>
      <c r="O36" s="2" t="s">
        <v>177</v>
      </c>
      <c r="P36" s="2" t="s">
        <v>446</v>
      </c>
      <c r="Q36" s="2" t="s">
        <v>191</v>
      </c>
      <c r="R36" s="2"/>
      <c r="S36" s="2" t="s">
        <v>192</v>
      </c>
      <c r="T36" s="2"/>
      <c r="U36" s="2"/>
      <c r="V36" s="2" t="s">
        <v>447</v>
      </c>
      <c r="W36" s="2" t="s">
        <v>457</v>
      </c>
      <c r="X36" s="2" t="s">
        <v>449</v>
      </c>
      <c r="Y36" s="2" t="s">
        <v>458</v>
      </c>
      <c r="Z36" s="2"/>
      <c r="AA36" s="2" t="s">
        <v>459</v>
      </c>
      <c r="AB36" s="2" t="s">
        <v>51</v>
      </c>
      <c r="AC36" s="2" t="s">
        <v>52</v>
      </c>
      <c r="AD36" s="2" t="s">
        <v>53</v>
      </c>
      <c r="AE36" s="2" t="s">
        <v>54</v>
      </c>
      <c r="AF36" s="2" t="s">
        <v>460</v>
      </c>
      <c r="AG36" s="4">
        <v>46198</v>
      </c>
    </row>
    <row r="37" spans="1:33" ht="15" customHeight="1" x14ac:dyDescent="0.3">
      <c r="A37" s="2" t="s">
        <v>461</v>
      </c>
      <c r="B37" s="2" t="s">
        <v>462</v>
      </c>
      <c r="C37" s="3">
        <v>2025</v>
      </c>
      <c r="D37" s="2" t="s">
        <v>463</v>
      </c>
      <c r="E37" s="2" t="s">
        <v>464</v>
      </c>
      <c r="F37" s="2" t="s">
        <v>465</v>
      </c>
      <c r="G37" s="2" t="s">
        <v>466</v>
      </c>
      <c r="H37" s="2" t="s">
        <v>467</v>
      </c>
      <c r="I37" s="2" t="s">
        <v>468</v>
      </c>
      <c r="J37" s="2" t="s">
        <v>445</v>
      </c>
      <c r="K37" s="2" t="s">
        <v>79</v>
      </c>
      <c r="L37" s="4">
        <v>45982</v>
      </c>
      <c r="M37" s="2" t="s">
        <v>40</v>
      </c>
      <c r="N37" s="2" t="s">
        <v>469</v>
      </c>
      <c r="O37" s="2" t="s">
        <v>177</v>
      </c>
      <c r="P37" s="2" t="s">
        <v>43</v>
      </c>
      <c r="Q37" s="2" t="s">
        <v>191</v>
      </c>
      <c r="R37" s="2"/>
      <c r="S37" s="2" t="s">
        <v>470</v>
      </c>
      <c r="T37" s="2"/>
      <c r="U37" s="2"/>
      <c r="V37" s="2" t="s">
        <v>471</v>
      </c>
      <c r="W37" s="2" t="s">
        <v>472</v>
      </c>
      <c r="X37" s="2" t="s">
        <v>473</v>
      </c>
      <c r="Y37" s="2"/>
      <c r="Z37" s="2"/>
      <c r="AA37" s="2" t="s">
        <v>474</v>
      </c>
      <c r="AB37" s="2" t="s">
        <v>51</v>
      </c>
      <c r="AC37" s="2" t="s">
        <v>52</v>
      </c>
      <c r="AD37" s="2" t="s">
        <v>53</v>
      </c>
      <c r="AE37" s="2" t="s">
        <v>54</v>
      </c>
      <c r="AF37" s="2" t="s">
        <v>475</v>
      </c>
      <c r="AG37" s="4">
        <v>46198</v>
      </c>
    </row>
    <row r="38" spans="1:33" ht="15" customHeight="1" x14ac:dyDescent="0.3">
      <c r="A38" s="2" t="s">
        <v>476</v>
      </c>
      <c r="B38" s="2" t="s">
        <v>477</v>
      </c>
      <c r="C38" s="3">
        <v>2025</v>
      </c>
      <c r="D38" s="2" t="s">
        <v>463</v>
      </c>
      <c r="E38" s="2" t="s">
        <v>478</v>
      </c>
      <c r="F38" s="2" t="s">
        <v>479</v>
      </c>
      <c r="G38" s="2" t="s">
        <v>480</v>
      </c>
      <c r="H38" s="2" t="s">
        <v>467</v>
      </c>
      <c r="I38" s="2" t="s">
        <v>481</v>
      </c>
      <c r="J38" s="2" t="s">
        <v>445</v>
      </c>
      <c r="K38" s="2" t="s">
        <v>79</v>
      </c>
      <c r="L38" s="4">
        <v>45982</v>
      </c>
      <c r="M38" s="2" t="s">
        <v>40</v>
      </c>
      <c r="N38" s="2" t="s">
        <v>469</v>
      </c>
      <c r="O38" s="2" t="s">
        <v>177</v>
      </c>
      <c r="P38" s="2" t="s">
        <v>43</v>
      </c>
      <c r="Q38" s="2" t="s">
        <v>191</v>
      </c>
      <c r="R38" s="2"/>
      <c r="S38" s="2" t="s">
        <v>482</v>
      </c>
      <c r="T38" s="2"/>
      <c r="U38" s="2"/>
      <c r="V38" s="2" t="s">
        <v>483</v>
      </c>
      <c r="W38" s="2" t="s">
        <v>484</v>
      </c>
      <c r="X38" s="2" t="s">
        <v>485</v>
      </c>
      <c r="Y38" s="2" t="s">
        <v>486</v>
      </c>
      <c r="Z38" s="2"/>
      <c r="AA38" s="2" t="s">
        <v>487</v>
      </c>
      <c r="AB38" s="2" t="s">
        <v>51</v>
      </c>
      <c r="AC38" s="2" t="s">
        <v>52</v>
      </c>
      <c r="AD38" s="2" t="s">
        <v>53</v>
      </c>
      <c r="AE38" s="2" t="s">
        <v>54</v>
      </c>
      <c r="AF38" s="2" t="s">
        <v>488</v>
      </c>
      <c r="AG38" s="4">
        <v>46198</v>
      </c>
    </row>
    <row r="39" spans="1:33" ht="15" customHeight="1" x14ac:dyDescent="0.3">
      <c r="A39" s="2" t="s">
        <v>489</v>
      </c>
      <c r="B39" s="2" t="s">
        <v>490</v>
      </c>
      <c r="C39" s="3">
        <v>2025</v>
      </c>
      <c r="D39" s="2" t="s">
        <v>491</v>
      </c>
      <c r="E39" s="2" t="s">
        <v>478</v>
      </c>
      <c r="F39" s="2" t="s">
        <v>479</v>
      </c>
      <c r="G39" s="2" t="s">
        <v>466</v>
      </c>
      <c r="H39" s="2" t="s">
        <v>467</v>
      </c>
      <c r="I39" s="2" t="s">
        <v>468</v>
      </c>
      <c r="J39" s="2" t="s">
        <v>445</v>
      </c>
      <c r="K39" s="2" t="s">
        <v>79</v>
      </c>
      <c r="L39" s="4">
        <v>45982</v>
      </c>
      <c r="M39" s="2" t="s">
        <v>40</v>
      </c>
      <c r="N39" s="2" t="s">
        <v>469</v>
      </c>
      <c r="O39" s="2" t="s">
        <v>177</v>
      </c>
      <c r="P39" s="2" t="s">
        <v>43</v>
      </c>
      <c r="Q39" s="2" t="s">
        <v>191</v>
      </c>
      <c r="R39" s="2"/>
      <c r="S39" s="2" t="s">
        <v>482</v>
      </c>
      <c r="T39" s="2"/>
      <c r="U39" s="2"/>
      <c r="V39" s="2" t="s">
        <v>483</v>
      </c>
      <c r="W39" s="2" t="s">
        <v>492</v>
      </c>
      <c r="X39" s="2" t="s">
        <v>493</v>
      </c>
      <c r="Y39" s="2" t="s">
        <v>494</v>
      </c>
      <c r="Z39" s="2"/>
      <c r="AA39" s="2" t="s">
        <v>495</v>
      </c>
      <c r="AB39" s="2" t="s">
        <v>51</v>
      </c>
      <c r="AC39" s="2" t="s">
        <v>52</v>
      </c>
      <c r="AD39" s="2" t="s">
        <v>53</v>
      </c>
      <c r="AE39" s="2" t="s">
        <v>54</v>
      </c>
      <c r="AF39" s="2" t="s">
        <v>496</v>
      </c>
      <c r="AG39" s="4">
        <v>46198</v>
      </c>
    </row>
    <row r="40" spans="1:33" ht="15" customHeight="1" x14ac:dyDescent="0.3">
      <c r="A40" s="2" t="s">
        <v>497</v>
      </c>
      <c r="B40" s="2" t="s">
        <v>498</v>
      </c>
      <c r="C40" s="3">
        <v>2025</v>
      </c>
      <c r="D40" s="2" t="s">
        <v>491</v>
      </c>
      <c r="E40" s="2" t="s">
        <v>478</v>
      </c>
      <c r="F40" s="2" t="s">
        <v>479</v>
      </c>
      <c r="G40" s="2" t="s">
        <v>480</v>
      </c>
      <c r="H40" s="2" t="s">
        <v>467</v>
      </c>
      <c r="I40" s="2" t="s">
        <v>481</v>
      </c>
      <c r="J40" s="2" t="s">
        <v>445</v>
      </c>
      <c r="K40" s="2" t="s">
        <v>79</v>
      </c>
      <c r="L40" s="4">
        <v>45982</v>
      </c>
      <c r="M40" s="2" t="s">
        <v>40</v>
      </c>
      <c r="N40" s="2" t="s">
        <v>469</v>
      </c>
      <c r="O40" s="2" t="s">
        <v>177</v>
      </c>
      <c r="P40" s="2" t="s">
        <v>43</v>
      </c>
      <c r="Q40" s="2" t="s">
        <v>191</v>
      </c>
      <c r="R40" s="2"/>
      <c r="S40" s="2" t="s">
        <v>482</v>
      </c>
      <c r="T40" s="2"/>
      <c r="U40" s="2"/>
      <c r="V40" s="2" t="s">
        <v>483</v>
      </c>
      <c r="W40" s="2" t="s">
        <v>484</v>
      </c>
      <c r="X40" s="2" t="s">
        <v>485</v>
      </c>
      <c r="Y40" s="2" t="s">
        <v>499</v>
      </c>
      <c r="Z40" s="2"/>
      <c r="AA40" s="2" t="s">
        <v>500</v>
      </c>
      <c r="AB40" s="2" t="s">
        <v>51</v>
      </c>
      <c r="AC40" s="2" t="s">
        <v>52</v>
      </c>
      <c r="AD40" s="2" t="s">
        <v>53</v>
      </c>
      <c r="AE40" s="2" t="s">
        <v>54</v>
      </c>
      <c r="AF40" s="2" t="s">
        <v>501</v>
      </c>
      <c r="AG40" s="4">
        <v>46198</v>
      </c>
    </row>
    <row r="41" spans="1:33" ht="15" customHeight="1" x14ac:dyDescent="0.3">
      <c r="A41" s="2" t="s">
        <v>502</v>
      </c>
      <c r="B41" s="2" t="s">
        <v>503</v>
      </c>
      <c r="C41" s="3">
        <v>2025</v>
      </c>
      <c r="D41" s="2" t="s">
        <v>504</v>
      </c>
      <c r="E41" s="2" t="s">
        <v>74</v>
      </c>
      <c r="F41" s="2" t="s">
        <v>505</v>
      </c>
      <c r="G41" s="2" t="s">
        <v>506</v>
      </c>
      <c r="H41" s="2"/>
      <c r="I41" s="2" t="s">
        <v>507</v>
      </c>
      <c r="J41" s="2" t="s">
        <v>508</v>
      </c>
      <c r="K41" s="2" t="s">
        <v>79</v>
      </c>
      <c r="L41" s="4">
        <v>45989</v>
      </c>
      <c r="M41" s="2" t="s">
        <v>40</v>
      </c>
      <c r="N41" s="2" t="s">
        <v>80</v>
      </c>
      <c r="O41" s="2" t="s">
        <v>177</v>
      </c>
      <c r="P41" s="2" t="s">
        <v>509</v>
      </c>
      <c r="Q41" s="2" t="s">
        <v>191</v>
      </c>
      <c r="R41" s="2"/>
      <c r="S41" s="2" t="s">
        <v>192</v>
      </c>
      <c r="T41" s="2" t="s">
        <v>510</v>
      </c>
      <c r="U41" s="2"/>
      <c r="V41" s="2" t="s">
        <v>511</v>
      </c>
      <c r="W41" s="2" t="s">
        <v>512</v>
      </c>
      <c r="X41" s="2" t="s">
        <v>513</v>
      </c>
      <c r="Y41" s="2"/>
      <c r="Z41" s="2"/>
      <c r="AA41" s="2" t="s">
        <v>514</v>
      </c>
      <c r="AB41" s="2" t="s">
        <v>51</v>
      </c>
      <c r="AC41" s="2" t="s">
        <v>52</v>
      </c>
      <c r="AD41" s="2" t="s">
        <v>53</v>
      </c>
      <c r="AE41" s="2" t="s">
        <v>54</v>
      </c>
      <c r="AF41" s="2" t="s">
        <v>515</v>
      </c>
      <c r="AG41" s="4">
        <v>46198</v>
      </c>
    </row>
    <row r="42" spans="1:33" ht="15" customHeight="1" x14ac:dyDescent="0.3">
      <c r="A42" s="2" t="s">
        <v>516</v>
      </c>
      <c r="B42" s="2" t="s">
        <v>517</v>
      </c>
      <c r="C42" s="3">
        <v>2025</v>
      </c>
      <c r="D42" s="2" t="s">
        <v>518</v>
      </c>
      <c r="E42" s="2" t="s">
        <v>519</v>
      </c>
      <c r="F42" s="2" t="s">
        <v>520</v>
      </c>
      <c r="G42" s="2"/>
      <c r="H42" s="2" t="s">
        <v>521</v>
      </c>
      <c r="I42" s="2" t="s">
        <v>522</v>
      </c>
      <c r="J42" s="2"/>
      <c r="K42" s="2" t="s">
        <v>39</v>
      </c>
      <c r="L42" s="4">
        <v>45989</v>
      </c>
      <c r="M42" s="2" t="s">
        <v>40</v>
      </c>
      <c r="N42" s="2" t="s">
        <v>41</v>
      </c>
      <c r="O42" s="2" t="s">
        <v>177</v>
      </c>
      <c r="P42" s="2" t="s">
        <v>523</v>
      </c>
      <c r="Q42" s="2" t="s">
        <v>191</v>
      </c>
      <c r="R42" s="2"/>
      <c r="S42" s="2" t="s">
        <v>524</v>
      </c>
      <c r="T42" s="2"/>
      <c r="U42" s="2"/>
      <c r="V42" s="2" t="s">
        <v>525</v>
      </c>
      <c r="W42" s="2" t="s">
        <v>526</v>
      </c>
      <c r="X42" s="2" t="s">
        <v>527</v>
      </c>
      <c r="Y42" s="2"/>
      <c r="Z42" s="2"/>
      <c r="AA42" s="2" t="s">
        <v>528</v>
      </c>
      <c r="AB42" s="2" t="s">
        <v>51</v>
      </c>
      <c r="AC42" s="2" t="s">
        <v>52</v>
      </c>
      <c r="AD42" s="2" t="s">
        <v>53</v>
      </c>
      <c r="AE42" s="2" t="s">
        <v>54</v>
      </c>
      <c r="AF42" s="2" t="s">
        <v>529</v>
      </c>
      <c r="AG42" s="4">
        <v>46198</v>
      </c>
    </row>
    <row r="43" spans="1:33" ht="15" customHeight="1" x14ac:dyDescent="0.3">
      <c r="A43" s="2" t="s">
        <v>530</v>
      </c>
      <c r="B43" s="2" t="s">
        <v>531</v>
      </c>
      <c r="C43" s="3">
        <v>2025</v>
      </c>
      <c r="D43" s="2" t="s">
        <v>532</v>
      </c>
      <c r="E43" s="2" t="s">
        <v>533</v>
      </c>
      <c r="F43" s="2" t="s">
        <v>534</v>
      </c>
      <c r="G43" s="2" t="s">
        <v>535</v>
      </c>
      <c r="H43" s="2" t="s">
        <v>536</v>
      </c>
      <c r="I43" s="2" t="s">
        <v>537</v>
      </c>
      <c r="J43" s="2" t="s">
        <v>538</v>
      </c>
      <c r="K43" s="2" t="s">
        <v>79</v>
      </c>
      <c r="L43" s="4">
        <v>46000</v>
      </c>
      <c r="M43" s="2" t="s">
        <v>40</v>
      </c>
      <c r="N43" s="2" t="s">
        <v>176</v>
      </c>
      <c r="O43" s="2" t="s">
        <v>202</v>
      </c>
      <c r="P43" s="2" t="s">
        <v>539</v>
      </c>
      <c r="Q43" s="2" t="s">
        <v>540</v>
      </c>
      <c r="R43" s="2"/>
      <c r="S43" s="2" t="s">
        <v>541</v>
      </c>
      <c r="T43" s="2"/>
      <c r="U43" s="2"/>
      <c r="V43" s="2" t="s">
        <v>542</v>
      </c>
      <c r="W43" s="2" t="s">
        <v>543</v>
      </c>
      <c r="X43" s="2" t="s">
        <v>544</v>
      </c>
      <c r="Y43" s="2"/>
      <c r="Z43" s="2"/>
      <c r="AA43" s="2" t="s">
        <v>545</v>
      </c>
      <c r="AB43" s="2" t="s">
        <v>51</v>
      </c>
      <c r="AC43" s="2" t="s">
        <v>52</v>
      </c>
      <c r="AD43" s="2" t="s">
        <v>53</v>
      </c>
      <c r="AE43" s="2" t="s">
        <v>54</v>
      </c>
      <c r="AF43" s="2" t="s">
        <v>546</v>
      </c>
      <c r="AG43" s="4">
        <v>46198</v>
      </c>
    </row>
    <row r="44" spans="1:33" ht="15" customHeight="1" x14ac:dyDescent="0.3">
      <c r="A44" s="2" t="s">
        <v>547</v>
      </c>
      <c r="B44" s="2" t="s">
        <v>548</v>
      </c>
      <c r="C44" s="3">
        <v>2025</v>
      </c>
      <c r="D44" s="2" t="s">
        <v>549</v>
      </c>
      <c r="E44" s="2" t="s">
        <v>414</v>
      </c>
      <c r="F44" s="2" t="s">
        <v>550</v>
      </c>
      <c r="G44" s="2" t="s">
        <v>551</v>
      </c>
      <c r="H44" s="2" t="s">
        <v>552</v>
      </c>
      <c r="I44" s="2" t="s">
        <v>553</v>
      </c>
      <c r="J44" s="2" t="s">
        <v>554</v>
      </c>
      <c r="K44" s="2" t="s">
        <v>39</v>
      </c>
      <c r="L44" s="4">
        <v>46000</v>
      </c>
      <c r="M44" s="2" t="s">
        <v>40</v>
      </c>
      <c r="N44" s="2" t="s">
        <v>555</v>
      </c>
      <c r="O44" s="2" t="s">
        <v>202</v>
      </c>
      <c r="P44" s="2" t="s">
        <v>43</v>
      </c>
      <c r="Q44" s="2" t="s">
        <v>540</v>
      </c>
      <c r="R44" s="2"/>
      <c r="S44" s="2" t="s">
        <v>556</v>
      </c>
      <c r="T44" s="2"/>
      <c r="U44" s="2" t="s">
        <v>557</v>
      </c>
      <c r="V44" s="2" t="s">
        <v>558</v>
      </c>
      <c r="W44" s="2" t="s">
        <v>559</v>
      </c>
      <c r="X44" s="2" t="s">
        <v>560</v>
      </c>
      <c r="Y44" s="2"/>
      <c r="Z44" s="2"/>
      <c r="AA44" s="2" t="s">
        <v>561</v>
      </c>
      <c r="AB44" s="2" t="s">
        <v>51</v>
      </c>
      <c r="AC44" s="2" t="s">
        <v>52</v>
      </c>
      <c r="AD44" s="2" t="s">
        <v>53</v>
      </c>
      <c r="AE44" s="2" t="s">
        <v>54</v>
      </c>
      <c r="AF44" s="2" t="s">
        <v>562</v>
      </c>
      <c r="AG44" s="4">
        <v>46198</v>
      </c>
    </row>
    <row r="45" spans="1:33" ht="15" customHeight="1" x14ac:dyDescent="0.3">
      <c r="A45" s="2" t="s">
        <v>563</v>
      </c>
      <c r="B45" s="2" t="s">
        <v>564</v>
      </c>
      <c r="C45" s="3">
        <v>2025</v>
      </c>
      <c r="D45" s="2" t="s">
        <v>565</v>
      </c>
      <c r="E45" s="2" t="s">
        <v>566</v>
      </c>
      <c r="F45" s="2" t="s">
        <v>567</v>
      </c>
      <c r="G45" s="2" t="s">
        <v>568</v>
      </c>
      <c r="H45" s="2" t="s">
        <v>569</v>
      </c>
      <c r="I45" s="2" t="s">
        <v>570</v>
      </c>
      <c r="J45" s="2" t="s">
        <v>215</v>
      </c>
      <c r="K45" s="2" t="s">
        <v>79</v>
      </c>
      <c r="L45" s="4">
        <v>46022</v>
      </c>
      <c r="M45" s="2" t="s">
        <v>40</v>
      </c>
      <c r="N45" s="2" t="s">
        <v>80</v>
      </c>
      <c r="O45" s="2" t="s">
        <v>202</v>
      </c>
      <c r="P45" s="2" t="s">
        <v>43</v>
      </c>
      <c r="Q45" s="2" t="s">
        <v>96</v>
      </c>
      <c r="R45" s="2"/>
      <c r="S45" s="2" t="s">
        <v>571</v>
      </c>
      <c r="T45" s="2"/>
      <c r="U45" s="2"/>
      <c r="V45" s="2" t="s">
        <v>572</v>
      </c>
      <c r="W45" s="2" t="s">
        <v>573</v>
      </c>
      <c r="X45" s="2" t="s">
        <v>574</v>
      </c>
      <c r="Y45" s="2"/>
      <c r="Z45" s="2"/>
      <c r="AA45" s="2" t="s">
        <v>575</v>
      </c>
      <c r="AB45" s="2" t="s">
        <v>51</v>
      </c>
      <c r="AC45" s="2" t="s">
        <v>52</v>
      </c>
      <c r="AD45" s="2" t="s">
        <v>53</v>
      </c>
      <c r="AE45" s="2" t="s">
        <v>54</v>
      </c>
      <c r="AF45" s="2" t="s">
        <v>576</v>
      </c>
      <c r="AG45" s="4">
        <v>46198</v>
      </c>
    </row>
    <row r="46" spans="1:33" ht="15" customHeight="1" x14ac:dyDescent="0.3">
      <c r="A46" s="2" t="s">
        <v>577</v>
      </c>
      <c r="B46" s="2" t="s">
        <v>578</v>
      </c>
      <c r="C46" s="3">
        <v>2025</v>
      </c>
      <c r="D46" s="2" t="s">
        <v>579</v>
      </c>
      <c r="E46" s="2" t="s">
        <v>580</v>
      </c>
      <c r="F46" s="2" t="s">
        <v>581</v>
      </c>
      <c r="G46" s="2" t="s">
        <v>582</v>
      </c>
      <c r="H46" s="2" t="s">
        <v>583</v>
      </c>
      <c r="I46" s="2" t="s">
        <v>584</v>
      </c>
      <c r="J46" s="2" t="s">
        <v>585</v>
      </c>
      <c r="K46" s="2" t="s">
        <v>79</v>
      </c>
      <c r="L46" s="4">
        <v>46022</v>
      </c>
      <c r="M46" s="2" t="s">
        <v>40</v>
      </c>
      <c r="N46" s="2" t="s">
        <v>80</v>
      </c>
      <c r="O46" s="2" t="s">
        <v>202</v>
      </c>
      <c r="P46" s="2" t="s">
        <v>43</v>
      </c>
      <c r="Q46" s="2" t="s">
        <v>96</v>
      </c>
      <c r="R46" s="2"/>
      <c r="S46" s="2" t="s">
        <v>586</v>
      </c>
      <c r="T46" s="2"/>
      <c r="U46" s="2"/>
      <c r="V46" s="2" t="s">
        <v>587</v>
      </c>
      <c r="W46" s="2" t="s">
        <v>588</v>
      </c>
      <c r="X46" s="2" t="s">
        <v>589</v>
      </c>
      <c r="Y46" s="2"/>
      <c r="Z46" s="2"/>
      <c r="AA46" s="2" t="s">
        <v>590</v>
      </c>
      <c r="AB46" s="2" t="s">
        <v>51</v>
      </c>
      <c r="AC46" s="2" t="s">
        <v>52</v>
      </c>
      <c r="AD46" s="2" t="s">
        <v>53</v>
      </c>
      <c r="AE46" s="2" t="s">
        <v>54</v>
      </c>
      <c r="AF46" s="2" t="s">
        <v>591</v>
      </c>
      <c r="AG46" s="4">
        <v>46198</v>
      </c>
    </row>
    <row r="47" spans="1:33" ht="15" customHeight="1" x14ac:dyDescent="0.3">
      <c r="A47" s="2" t="s">
        <v>592</v>
      </c>
      <c r="B47" s="2" t="s">
        <v>593</v>
      </c>
      <c r="C47" s="3">
        <v>2025</v>
      </c>
      <c r="D47" s="2" t="s">
        <v>594</v>
      </c>
      <c r="E47" s="2" t="s">
        <v>414</v>
      </c>
      <c r="F47" s="2" t="s">
        <v>595</v>
      </c>
      <c r="G47" s="2" t="s">
        <v>596</v>
      </c>
      <c r="H47" s="2" t="s">
        <v>597</v>
      </c>
      <c r="I47" s="2" t="s">
        <v>598</v>
      </c>
      <c r="J47" s="2" t="s">
        <v>215</v>
      </c>
      <c r="K47" s="2" t="s">
        <v>79</v>
      </c>
      <c r="L47" s="4">
        <v>46022</v>
      </c>
      <c r="M47" s="2" t="s">
        <v>40</v>
      </c>
      <c r="N47" s="2" t="s">
        <v>80</v>
      </c>
      <c r="O47" s="2" t="s">
        <v>202</v>
      </c>
      <c r="P47" s="2" t="s">
        <v>43</v>
      </c>
      <c r="Q47" s="2" t="s">
        <v>96</v>
      </c>
      <c r="R47" s="2"/>
      <c r="S47" s="2" t="s">
        <v>599</v>
      </c>
      <c r="T47" s="2"/>
      <c r="U47" s="2" t="s">
        <v>600</v>
      </c>
      <c r="V47" s="2" t="s">
        <v>601</v>
      </c>
      <c r="W47" s="2" t="s">
        <v>602</v>
      </c>
      <c r="X47" s="2" t="s">
        <v>603</v>
      </c>
      <c r="Y47" s="2"/>
      <c r="Z47" s="2"/>
      <c r="AA47" s="2" t="s">
        <v>604</v>
      </c>
      <c r="AB47" s="2" t="s">
        <v>51</v>
      </c>
      <c r="AC47" s="2" t="s">
        <v>52</v>
      </c>
      <c r="AD47" s="2" t="s">
        <v>53</v>
      </c>
      <c r="AE47" s="2" t="s">
        <v>54</v>
      </c>
      <c r="AF47" s="2" t="s">
        <v>605</v>
      </c>
      <c r="AG47" s="4">
        <v>46198</v>
      </c>
    </row>
    <row r="48" spans="1:33" ht="15" customHeight="1" x14ac:dyDescent="0.3">
      <c r="A48" s="2" t="s">
        <v>606</v>
      </c>
      <c r="B48" s="2" t="s">
        <v>607</v>
      </c>
      <c r="C48" s="3">
        <v>2025</v>
      </c>
      <c r="D48" s="2" t="s">
        <v>608</v>
      </c>
      <c r="E48" s="2" t="s">
        <v>609</v>
      </c>
      <c r="F48" s="2" t="s">
        <v>610</v>
      </c>
      <c r="G48" s="2" t="s">
        <v>611</v>
      </c>
      <c r="H48" s="2" t="s">
        <v>612</v>
      </c>
      <c r="I48" s="2" t="s">
        <v>613</v>
      </c>
      <c r="J48" s="2" t="s">
        <v>614</v>
      </c>
      <c r="K48" s="2" t="s">
        <v>79</v>
      </c>
      <c r="L48" s="4">
        <v>46022</v>
      </c>
      <c r="M48" s="2" t="s">
        <v>40</v>
      </c>
      <c r="N48" s="2" t="s">
        <v>176</v>
      </c>
      <c r="O48" s="2" t="s">
        <v>202</v>
      </c>
      <c r="P48" s="2" t="s">
        <v>43</v>
      </c>
      <c r="Q48" s="2" t="s">
        <v>96</v>
      </c>
      <c r="R48" s="2"/>
      <c r="S48" s="2" t="s">
        <v>615</v>
      </c>
      <c r="T48" s="2"/>
      <c r="U48" s="2"/>
      <c r="V48" s="2" t="s">
        <v>616</v>
      </c>
      <c r="W48" s="2" t="s">
        <v>617</v>
      </c>
      <c r="X48" s="2" t="s">
        <v>618</v>
      </c>
      <c r="Y48" s="2"/>
      <c r="Z48" s="2"/>
      <c r="AA48" s="2" t="s">
        <v>619</v>
      </c>
      <c r="AB48" s="2" t="s">
        <v>51</v>
      </c>
      <c r="AC48" s="2" t="s">
        <v>52</v>
      </c>
      <c r="AD48" s="2" t="s">
        <v>53</v>
      </c>
      <c r="AE48" s="2" t="s">
        <v>54</v>
      </c>
      <c r="AF48" s="2" t="s">
        <v>620</v>
      </c>
      <c r="AG48" s="4">
        <v>46198</v>
      </c>
    </row>
    <row r="49" spans="1:33" ht="15" customHeight="1" x14ac:dyDescent="0.3">
      <c r="A49" s="2" t="s">
        <v>621</v>
      </c>
      <c r="B49" s="2" t="s">
        <v>622</v>
      </c>
      <c r="C49" s="3">
        <v>2025</v>
      </c>
      <c r="D49" s="2" t="s">
        <v>623</v>
      </c>
      <c r="E49" s="2" t="s">
        <v>624</v>
      </c>
      <c r="F49" s="2" t="s">
        <v>625</v>
      </c>
      <c r="G49" s="2" t="s">
        <v>626</v>
      </c>
      <c r="H49" s="2" t="s">
        <v>627</v>
      </c>
      <c r="I49" s="2" t="s">
        <v>628</v>
      </c>
      <c r="J49" s="2" t="s">
        <v>629</v>
      </c>
      <c r="K49" s="2" t="s">
        <v>79</v>
      </c>
      <c r="L49" s="4">
        <v>46022</v>
      </c>
      <c r="M49" s="2" t="s">
        <v>40</v>
      </c>
      <c r="N49" s="2" t="s">
        <v>176</v>
      </c>
      <c r="O49" s="2" t="s">
        <v>202</v>
      </c>
      <c r="P49" s="2" t="s">
        <v>43</v>
      </c>
      <c r="Q49" s="2" t="s">
        <v>96</v>
      </c>
      <c r="R49" s="2"/>
      <c r="S49" s="2" t="s">
        <v>630</v>
      </c>
      <c r="T49" s="2"/>
      <c r="U49" s="2"/>
      <c r="V49" s="2" t="s">
        <v>631</v>
      </c>
      <c r="W49" s="2" t="s">
        <v>632</v>
      </c>
      <c r="X49" s="2" t="s">
        <v>633</v>
      </c>
      <c r="Y49" s="2"/>
      <c r="Z49" s="2"/>
      <c r="AA49" s="2" t="s">
        <v>634</v>
      </c>
      <c r="AB49" s="2" t="s">
        <v>51</v>
      </c>
      <c r="AC49" s="2" t="s">
        <v>52</v>
      </c>
      <c r="AD49" s="2" t="s">
        <v>53</v>
      </c>
      <c r="AE49" s="2" t="s">
        <v>54</v>
      </c>
      <c r="AF49" s="2" t="s">
        <v>635</v>
      </c>
      <c r="AG49" s="4">
        <v>46198</v>
      </c>
    </row>
    <row r="50" spans="1:33" ht="15" customHeight="1" x14ac:dyDescent="0.3">
      <c r="A50" s="2" t="s">
        <v>636</v>
      </c>
      <c r="B50" s="2" t="s">
        <v>637</v>
      </c>
      <c r="C50" s="3">
        <v>2025</v>
      </c>
      <c r="D50" s="2" t="s">
        <v>638</v>
      </c>
      <c r="E50" s="2" t="s">
        <v>639</v>
      </c>
      <c r="F50" s="2" t="s">
        <v>640</v>
      </c>
      <c r="G50" s="2"/>
      <c r="H50" s="2" t="s">
        <v>641</v>
      </c>
      <c r="I50" s="2" t="s">
        <v>642</v>
      </c>
      <c r="J50" s="2" t="s">
        <v>643</v>
      </c>
      <c r="K50" s="2" t="s">
        <v>79</v>
      </c>
      <c r="L50" s="4">
        <v>46027</v>
      </c>
      <c r="M50" s="2" t="s">
        <v>40</v>
      </c>
      <c r="N50" s="2" t="s">
        <v>41</v>
      </c>
      <c r="O50" s="2" t="s">
        <v>202</v>
      </c>
      <c r="P50" s="2" t="s">
        <v>644</v>
      </c>
      <c r="Q50" s="2" t="s">
        <v>64</v>
      </c>
      <c r="R50" s="2"/>
      <c r="S50" s="2" t="s">
        <v>645</v>
      </c>
      <c r="T50" s="2"/>
      <c r="U50" s="2"/>
      <c r="V50" s="2" t="s">
        <v>646</v>
      </c>
      <c r="W50" s="2" t="s">
        <v>647</v>
      </c>
      <c r="X50" s="2" t="s">
        <v>648</v>
      </c>
      <c r="Y50" s="2"/>
      <c r="Z50" s="2"/>
      <c r="AA50" s="2" t="s">
        <v>649</v>
      </c>
      <c r="AB50" s="2" t="s">
        <v>51</v>
      </c>
      <c r="AC50" s="2" t="s">
        <v>52</v>
      </c>
      <c r="AD50" s="2" t="s">
        <v>53</v>
      </c>
      <c r="AE50" s="2" t="s">
        <v>54</v>
      </c>
      <c r="AF50" s="2" t="s">
        <v>650</v>
      </c>
      <c r="AG50" s="4">
        <v>46198</v>
      </c>
    </row>
    <row r="51" spans="1:33" ht="15" customHeight="1" x14ac:dyDescent="0.3">
      <c r="A51" s="2" t="s">
        <v>651</v>
      </c>
      <c r="B51" s="2" t="s">
        <v>652</v>
      </c>
      <c r="C51" s="3">
        <v>2025</v>
      </c>
      <c r="D51" s="2" t="s">
        <v>653</v>
      </c>
      <c r="E51" s="2" t="s">
        <v>654</v>
      </c>
      <c r="F51" s="2" t="s">
        <v>655</v>
      </c>
      <c r="G51" s="2" t="s">
        <v>656</v>
      </c>
      <c r="H51" s="2"/>
      <c r="I51" s="2" t="s">
        <v>657</v>
      </c>
      <c r="J51" s="2" t="s">
        <v>658</v>
      </c>
      <c r="K51" s="2" t="s">
        <v>79</v>
      </c>
      <c r="L51" s="4">
        <v>46022</v>
      </c>
      <c r="M51" s="2" t="s">
        <v>40</v>
      </c>
      <c r="N51" s="2" t="s">
        <v>80</v>
      </c>
      <c r="O51" s="2" t="s">
        <v>202</v>
      </c>
      <c r="P51" s="2" t="s">
        <v>523</v>
      </c>
      <c r="Q51" s="2" t="s">
        <v>96</v>
      </c>
      <c r="R51" s="2"/>
      <c r="S51" s="2" t="s">
        <v>659</v>
      </c>
      <c r="T51" s="2" t="s">
        <v>660</v>
      </c>
      <c r="U51" s="2"/>
      <c r="V51" s="2" t="s">
        <v>661</v>
      </c>
      <c r="W51" s="2" t="s">
        <v>662</v>
      </c>
      <c r="X51" s="2" t="s">
        <v>663</v>
      </c>
      <c r="Y51" s="2"/>
      <c r="Z51" s="2"/>
      <c r="AA51" s="2" t="s">
        <v>664</v>
      </c>
      <c r="AB51" s="2" t="s">
        <v>51</v>
      </c>
      <c r="AC51" s="2" t="s">
        <v>52</v>
      </c>
      <c r="AD51" s="2" t="s">
        <v>53</v>
      </c>
      <c r="AE51" s="2" t="s">
        <v>54</v>
      </c>
      <c r="AF51" s="2" t="s">
        <v>665</v>
      </c>
      <c r="AG51" s="4">
        <v>46198</v>
      </c>
    </row>
    <row r="52" spans="1:33" ht="15" customHeight="1" x14ac:dyDescent="0.3">
      <c r="A52" s="2" t="s">
        <v>666</v>
      </c>
      <c r="B52" s="2" t="s">
        <v>667</v>
      </c>
      <c r="C52" s="3">
        <v>2025</v>
      </c>
      <c r="D52" s="2" t="s">
        <v>668</v>
      </c>
      <c r="E52" s="2" t="s">
        <v>270</v>
      </c>
      <c r="F52" s="2" t="s">
        <v>669</v>
      </c>
      <c r="G52" s="2" t="s">
        <v>670</v>
      </c>
      <c r="H52" s="2"/>
      <c r="I52" s="2" t="s">
        <v>671</v>
      </c>
      <c r="J52" s="2" t="s">
        <v>274</v>
      </c>
      <c r="K52" s="2" t="s">
        <v>39</v>
      </c>
      <c r="L52" s="4">
        <v>45973</v>
      </c>
      <c r="M52" s="2" t="s">
        <v>40</v>
      </c>
      <c r="N52" s="2" t="s">
        <v>41</v>
      </c>
      <c r="O52" s="2" t="s">
        <v>177</v>
      </c>
      <c r="P52" s="2" t="s">
        <v>43</v>
      </c>
      <c r="Q52" s="2" t="s">
        <v>191</v>
      </c>
      <c r="R52" s="2"/>
      <c r="S52" s="2" t="s">
        <v>482</v>
      </c>
      <c r="T52" s="2" t="s">
        <v>672</v>
      </c>
      <c r="U52" s="2"/>
      <c r="V52" s="2" t="s">
        <v>673</v>
      </c>
      <c r="W52" s="2" t="s">
        <v>674</v>
      </c>
      <c r="X52" s="2" t="s">
        <v>675</v>
      </c>
      <c r="Y52" s="2"/>
      <c r="Z52" s="2"/>
      <c r="AA52" s="2" t="s">
        <v>676</v>
      </c>
      <c r="AB52" s="2" t="s">
        <v>51</v>
      </c>
      <c r="AC52" s="2" t="s">
        <v>52</v>
      </c>
      <c r="AD52" s="2" t="s">
        <v>53</v>
      </c>
      <c r="AE52" s="2" t="s">
        <v>54</v>
      </c>
      <c r="AF52" s="2" t="s">
        <v>677</v>
      </c>
      <c r="AG52" s="4">
        <v>46198</v>
      </c>
    </row>
    <row r="53" spans="1:33" ht="15" customHeight="1" x14ac:dyDescent="0.3">
      <c r="A53" s="2" t="s">
        <v>678</v>
      </c>
      <c r="B53" s="2" t="s">
        <v>679</v>
      </c>
      <c r="C53" s="3">
        <v>2025</v>
      </c>
      <c r="D53" s="2" t="s">
        <v>680</v>
      </c>
      <c r="E53" s="2" t="s">
        <v>681</v>
      </c>
      <c r="F53" s="2" t="s">
        <v>682</v>
      </c>
      <c r="G53" s="2" t="s">
        <v>683</v>
      </c>
      <c r="H53" s="2" t="s">
        <v>684</v>
      </c>
      <c r="I53" s="2" t="s">
        <v>685</v>
      </c>
      <c r="J53" s="2" t="s">
        <v>215</v>
      </c>
      <c r="K53" s="2" t="s">
        <v>79</v>
      </c>
      <c r="L53" s="4">
        <v>46027</v>
      </c>
      <c r="M53" s="2" t="s">
        <v>40</v>
      </c>
      <c r="N53" s="2" t="s">
        <v>176</v>
      </c>
      <c r="O53" s="2" t="s">
        <v>686</v>
      </c>
      <c r="P53" s="2" t="s">
        <v>687</v>
      </c>
      <c r="Q53" s="2" t="s">
        <v>64</v>
      </c>
      <c r="R53" s="2"/>
      <c r="S53" s="2" t="s">
        <v>688</v>
      </c>
      <c r="T53" s="2"/>
      <c r="U53" s="2"/>
      <c r="V53" s="2" t="s">
        <v>689</v>
      </c>
      <c r="W53" s="2" t="s">
        <v>690</v>
      </c>
      <c r="X53" s="2" t="s">
        <v>691</v>
      </c>
      <c r="Y53" s="2"/>
      <c r="Z53" s="2"/>
      <c r="AA53" s="2" t="s">
        <v>692</v>
      </c>
      <c r="AB53" s="2" t="s">
        <v>51</v>
      </c>
      <c r="AC53" s="2" t="s">
        <v>52</v>
      </c>
      <c r="AD53" s="2" t="s">
        <v>53</v>
      </c>
      <c r="AE53" s="2" t="s">
        <v>54</v>
      </c>
      <c r="AF53" s="2" t="s">
        <v>693</v>
      </c>
      <c r="AG53" s="4">
        <v>46198</v>
      </c>
    </row>
    <row r="54" spans="1:33" ht="15" customHeight="1" x14ac:dyDescent="0.3">
      <c r="A54" s="2" t="s">
        <v>694</v>
      </c>
      <c r="B54" s="2" t="s">
        <v>695</v>
      </c>
      <c r="C54" s="3">
        <v>2025</v>
      </c>
      <c r="D54" s="2" t="s">
        <v>696</v>
      </c>
      <c r="E54" s="2" t="s">
        <v>681</v>
      </c>
      <c r="F54" s="2" t="s">
        <v>697</v>
      </c>
      <c r="G54" s="2" t="s">
        <v>698</v>
      </c>
      <c r="H54" s="2"/>
      <c r="I54" s="2" t="s">
        <v>699</v>
      </c>
      <c r="J54" s="2" t="s">
        <v>614</v>
      </c>
      <c r="K54" s="2" t="s">
        <v>79</v>
      </c>
      <c r="L54" s="4">
        <v>46030</v>
      </c>
      <c r="M54" s="2" t="s">
        <v>40</v>
      </c>
      <c r="N54" s="2" t="s">
        <v>176</v>
      </c>
      <c r="O54" s="2" t="s">
        <v>62</v>
      </c>
      <c r="P54" s="2"/>
      <c r="Q54" s="2"/>
      <c r="R54" s="2"/>
      <c r="S54" s="2" t="s">
        <v>700</v>
      </c>
      <c r="T54" s="2"/>
      <c r="U54" s="2"/>
      <c r="V54" s="2" t="s">
        <v>701</v>
      </c>
      <c r="W54" s="2" t="s">
        <v>702</v>
      </c>
      <c r="X54" s="2" t="s">
        <v>703</v>
      </c>
      <c r="Y54" s="2"/>
      <c r="Z54" s="2"/>
      <c r="AA54" s="2" t="s">
        <v>704</v>
      </c>
      <c r="AB54" s="2" t="s">
        <v>51</v>
      </c>
      <c r="AC54" s="2" t="s">
        <v>52</v>
      </c>
      <c r="AD54" s="2" t="s">
        <v>53</v>
      </c>
      <c r="AE54" s="2" t="s">
        <v>54</v>
      </c>
      <c r="AF54" s="2" t="s">
        <v>705</v>
      </c>
      <c r="AG54" s="4">
        <v>46198</v>
      </c>
    </row>
    <row r="55" spans="1:33" ht="15" customHeight="1" x14ac:dyDescent="0.3">
      <c r="A55" s="2" t="s">
        <v>706</v>
      </c>
      <c r="B55" s="2" t="s">
        <v>707</v>
      </c>
      <c r="C55" s="3">
        <v>2025</v>
      </c>
      <c r="D55" s="2" t="s">
        <v>708</v>
      </c>
      <c r="E55" s="2" t="s">
        <v>709</v>
      </c>
      <c r="F55" s="2" t="s">
        <v>710</v>
      </c>
      <c r="G55" s="2"/>
      <c r="H55" s="2"/>
      <c r="I55" s="2"/>
      <c r="J55" s="2" t="s">
        <v>711</v>
      </c>
      <c r="K55" s="2" t="s">
        <v>190</v>
      </c>
      <c r="L55" s="4">
        <v>46034</v>
      </c>
      <c r="M55" s="2" t="s">
        <v>40</v>
      </c>
      <c r="N55" s="2" t="s">
        <v>41</v>
      </c>
      <c r="O55" s="2" t="s">
        <v>686</v>
      </c>
      <c r="P55" s="2" t="s">
        <v>712</v>
      </c>
      <c r="Q55" s="2" t="s">
        <v>713</v>
      </c>
      <c r="R55" s="2"/>
      <c r="S55" s="2"/>
      <c r="T55" s="2"/>
      <c r="U55" s="2"/>
      <c r="V55" s="2" t="s">
        <v>714</v>
      </c>
      <c r="W55" s="2" t="s">
        <v>715</v>
      </c>
      <c r="X55" s="2" t="s">
        <v>716</v>
      </c>
      <c r="Y55" s="2"/>
      <c r="Z55" s="2"/>
      <c r="AA55" s="2" t="s">
        <v>717</v>
      </c>
      <c r="AB55" s="2" t="s">
        <v>51</v>
      </c>
      <c r="AC55" s="2" t="s">
        <v>52</v>
      </c>
      <c r="AD55" s="2" t="s">
        <v>53</v>
      </c>
      <c r="AE55" s="2" t="s">
        <v>54</v>
      </c>
      <c r="AF55" s="2" t="s">
        <v>718</v>
      </c>
      <c r="AG55" s="4">
        <v>46198</v>
      </c>
    </row>
    <row r="56" spans="1:33" ht="15" customHeight="1" x14ac:dyDescent="0.3">
      <c r="A56" s="2" t="s">
        <v>719</v>
      </c>
      <c r="B56" s="2" t="s">
        <v>720</v>
      </c>
      <c r="C56" s="3">
        <v>2025</v>
      </c>
      <c r="D56" s="2" t="s">
        <v>269</v>
      </c>
      <c r="E56" s="2" t="s">
        <v>270</v>
      </c>
      <c r="F56" s="2" t="s">
        <v>271</v>
      </c>
      <c r="G56" s="2" t="s">
        <v>721</v>
      </c>
      <c r="H56" s="2"/>
      <c r="I56" s="2" t="s">
        <v>722</v>
      </c>
      <c r="J56" s="2" t="s">
        <v>274</v>
      </c>
      <c r="K56" s="2" t="s">
        <v>39</v>
      </c>
      <c r="L56" s="4">
        <v>45973</v>
      </c>
      <c r="M56" s="2" t="s">
        <v>40</v>
      </c>
      <c r="N56" s="2" t="s">
        <v>41</v>
      </c>
      <c r="O56" s="2" t="s">
        <v>177</v>
      </c>
      <c r="P56" s="2" t="s">
        <v>43</v>
      </c>
      <c r="Q56" s="2" t="s">
        <v>96</v>
      </c>
      <c r="R56" s="2"/>
      <c r="S56" s="2" t="s">
        <v>275</v>
      </c>
      <c r="T56" s="2" t="s">
        <v>276</v>
      </c>
      <c r="U56" s="2"/>
      <c r="V56" s="2" t="s">
        <v>277</v>
      </c>
      <c r="W56" s="2" t="s">
        <v>723</v>
      </c>
      <c r="X56" s="2" t="s">
        <v>279</v>
      </c>
      <c r="Y56" s="2" t="s">
        <v>724</v>
      </c>
      <c r="Z56" s="2"/>
      <c r="AA56" s="2" t="s">
        <v>725</v>
      </c>
      <c r="AB56" s="2" t="s">
        <v>51</v>
      </c>
      <c r="AC56" s="2" t="s">
        <v>52</v>
      </c>
      <c r="AD56" s="2" t="s">
        <v>53</v>
      </c>
      <c r="AE56" s="2" t="s">
        <v>54</v>
      </c>
      <c r="AF56" s="2" t="s">
        <v>726</v>
      </c>
      <c r="AG56" s="4">
        <v>46198</v>
      </c>
    </row>
    <row r="57" spans="1:33" ht="15" customHeight="1" x14ac:dyDescent="0.3">
      <c r="A57" s="2" t="s">
        <v>727</v>
      </c>
      <c r="B57" s="2" t="s">
        <v>728</v>
      </c>
      <c r="C57" s="3">
        <v>2026</v>
      </c>
      <c r="D57" s="2" t="s">
        <v>729</v>
      </c>
      <c r="E57" s="2" t="s">
        <v>730</v>
      </c>
      <c r="F57" s="2" t="s">
        <v>731</v>
      </c>
      <c r="G57" s="2" t="s">
        <v>732</v>
      </c>
      <c r="H57" s="2" t="s">
        <v>733</v>
      </c>
      <c r="I57" s="2" t="s">
        <v>734</v>
      </c>
      <c r="J57" s="2" t="s">
        <v>215</v>
      </c>
      <c r="K57" s="2" t="s">
        <v>79</v>
      </c>
      <c r="L57" s="4">
        <v>46034</v>
      </c>
      <c r="M57" s="2" t="s">
        <v>40</v>
      </c>
      <c r="N57" s="2" t="s">
        <v>80</v>
      </c>
      <c r="O57" s="2" t="s">
        <v>202</v>
      </c>
      <c r="P57" s="2" t="s">
        <v>43</v>
      </c>
      <c r="Q57" s="2" t="s">
        <v>96</v>
      </c>
      <c r="R57" s="2"/>
      <c r="S57" s="2" t="s">
        <v>735</v>
      </c>
      <c r="T57" s="2"/>
      <c r="U57" s="2"/>
      <c r="V57" s="2" t="s">
        <v>736</v>
      </c>
      <c r="W57" s="2" t="s">
        <v>737</v>
      </c>
      <c r="X57" s="2" t="s">
        <v>738</v>
      </c>
      <c r="Y57" s="2"/>
      <c r="Z57" s="2"/>
      <c r="AA57" s="2" t="s">
        <v>739</v>
      </c>
      <c r="AB57" s="2" t="s">
        <v>51</v>
      </c>
      <c r="AC57" s="2" t="s">
        <v>52</v>
      </c>
      <c r="AD57" s="2" t="s">
        <v>53</v>
      </c>
      <c r="AE57" s="2" t="s">
        <v>54</v>
      </c>
      <c r="AF57" s="2" t="s">
        <v>740</v>
      </c>
      <c r="AG57" s="4">
        <v>46198</v>
      </c>
    </row>
    <row r="58" spans="1:33" ht="15" customHeight="1" x14ac:dyDescent="0.3">
      <c r="A58" s="2" t="s">
        <v>741</v>
      </c>
      <c r="B58" s="2" t="s">
        <v>742</v>
      </c>
      <c r="C58" s="3">
        <v>2026</v>
      </c>
      <c r="D58" s="2" t="s">
        <v>549</v>
      </c>
      <c r="E58" s="2" t="s">
        <v>730</v>
      </c>
      <c r="F58" s="2" t="s">
        <v>743</v>
      </c>
      <c r="G58" s="2" t="s">
        <v>744</v>
      </c>
      <c r="H58" s="2" t="s">
        <v>745</v>
      </c>
      <c r="I58" s="2" t="s">
        <v>746</v>
      </c>
      <c r="J58" s="2" t="s">
        <v>215</v>
      </c>
      <c r="K58" s="2" t="s">
        <v>39</v>
      </c>
      <c r="L58" s="4">
        <v>46067</v>
      </c>
      <c r="M58" s="2" t="s">
        <v>40</v>
      </c>
      <c r="N58" s="2" t="s">
        <v>176</v>
      </c>
      <c r="O58" s="2" t="s">
        <v>202</v>
      </c>
      <c r="P58" s="2" t="s">
        <v>43</v>
      </c>
      <c r="Q58" s="2" t="s">
        <v>96</v>
      </c>
      <c r="R58" s="2"/>
      <c r="S58" s="2" t="s">
        <v>747</v>
      </c>
      <c r="T58" s="2"/>
      <c r="U58" s="2" t="s">
        <v>748</v>
      </c>
      <c r="V58" s="2" t="s">
        <v>749</v>
      </c>
      <c r="W58" s="2" t="s">
        <v>750</v>
      </c>
      <c r="X58" s="2" t="s">
        <v>751</v>
      </c>
      <c r="Y58" s="2"/>
      <c r="Z58" s="2"/>
      <c r="AA58" s="2" t="s">
        <v>752</v>
      </c>
      <c r="AB58" s="2" t="s">
        <v>51</v>
      </c>
      <c r="AC58" s="2" t="s">
        <v>52</v>
      </c>
      <c r="AD58" s="2" t="s">
        <v>53</v>
      </c>
      <c r="AE58" s="2" t="s">
        <v>54</v>
      </c>
      <c r="AF58" s="2" t="s">
        <v>753</v>
      </c>
      <c r="AG58" s="4">
        <v>46198</v>
      </c>
    </row>
    <row r="59" spans="1:33" ht="15" customHeight="1" x14ac:dyDescent="0.3">
      <c r="A59" s="2" t="s">
        <v>754</v>
      </c>
      <c r="B59" s="2" t="s">
        <v>755</v>
      </c>
      <c r="C59" s="3">
        <v>2026</v>
      </c>
      <c r="D59" s="2" t="s">
        <v>549</v>
      </c>
      <c r="E59" s="2" t="s">
        <v>730</v>
      </c>
      <c r="F59" s="2" t="s">
        <v>756</v>
      </c>
      <c r="G59" s="2" t="s">
        <v>757</v>
      </c>
      <c r="H59" s="2" t="s">
        <v>758</v>
      </c>
      <c r="I59" s="2" t="s">
        <v>759</v>
      </c>
      <c r="J59" s="2" t="s">
        <v>760</v>
      </c>
      <c r="K59" s="2" t="s">
        <v>39</v>
      </c>
      <c r="L59" s="4">
        <v>46069</v>
      </c>
      <c r="M59" s="2" t="s">
        <v>40</v>
      </c>
      <c r="N59" s="2" t="s">
        <v>80</v>
      </c>
      <c r="O59" s="2" t="s">
        <v>202</v>
      </c>
      <c r="P59" s="2" t="s">
        <v>43</v>
      </c>
      <c r="Q59" s="2" t="s">
        <v>96</v>
      </c>
      <c r="R59" s="2"/>
      <c r="S59" s="2" t="s">
        <v>761</v>
      </c>
      <c r="T59" s="2"/>
      <c r="U59" s="2"/>
      <c r="V59" s="2" t="s">
        <v>762</v>
      </c>
      <c r="W59" s="2" t="s">
        <v>763</v>
      </c>
      <c r="X59" s="2" t="s">
        <v>764</v>
      </c>
      <c r="Y59" s="2"/>
      <c r="Z59" s="2"/>
      <c r="AA59" s="2" t="s">
        <v>765</v>
      </c>
      <c r="AB59" s="2" t="s">
        <v>51</v>
      </c>
      <c r="AC59" s="2" t="s">
        <v>52</v>
      </c>
      <c r="AD59" s="2" t="s">
        <v>53</v>
      </c>
      <c r="AE59" s="2" t="s">
        <v>54</v>
      </c>
      <c r="AF59" s="2" t="s">
        <v>766</v>
      </c>
      <c r="AG59" s="4">
        <v>46198</v>
      </c>
    </row>
    <row r="60" spans="1:33" ht="15" customHeight="1" x14ac:dyDescent="0.3">
      <c r="A60" s="2" t="s">
        <v>767</v>
      </c>
      <c r="B60" s="2" t="s">
        <v>768</v>
      </c>
      <c r="C60" s="3">
        <v>2026</v>
      </c>
      <c r="D60" s="2" t="s">
        <v>769</v>
      </c>
      <c r="E60" s="2" t="s">
        <v>414</v>
      </c>
      <c r="F60" s="2" t="s">
        <v>756</v>
      </c>
      <c r="G60" s="2" t="s">
        <v>770</v>
      </c>
      <c r="H60" s="2"/>
      <c r="I60" s="2" t="s">
        <v>771</v>
      </c>
      <c r="J60" s="2" t="s">
        <v>760</v>
      </c>
      <c r="K60" s="2" t="s">
        <v>39</v>
      </c>
      <c r="L60" s="4">
        <v>46069</v>
      </c>
      <c r="M60" s="2" t="s">
        <v>40</v>
      </c>
      <c r="N60" s="2" t="s">
        <v>80</v>
      </c>
      <c r="O60" s="2" t="s">
        <v>202</v>
      </c>
      <c r="P60" s="2" t="s">
        <v>43</v>
      </c>
      <c r="Q60" s="2" t="s">
        <v>96</v>
      </c>
      <c r="R60" s="2"/>
      <c r="S60" s="2" t="s">
        <v>772</v>
      </c>
      <c r="T60" s="2" t="s">
        <v>660</v>
      </c>
      <c r="U60" s="2"/>
      <c r="V60" s="2" t="s">
        <v>773</v>
      </c>
      <c r="W60" s="2" t="s">
        <v>774</v>
      </c>
      <c r="X60" s="2" t="s">
        <v>775</v>
      </c>
      <c r="Y60" s="2" t="s">
        <v>776</v>
      </c>
      <c r="Z60" s="2"/>
      <c r="AA60" s="2" t="s">
        <v>777</v>
      </c>
      <c r="AB60" s="2" t="s">
        <v>51</v>
      </c>
      <c r="AC60" s="2" t="s">
        <v>52</v>
      </c>
      <c r="AD60" s="2" t="s">
        <v>53</v>
      </c>
      <c r="AE60" s="2" t="s">
        <v>54</v>
      </c>
      <c r="AF60" s="2" t="s">
        <v>778</v>
      </c>
      <c r="AG60" s="4">
        <v>46198</v>
      </c>
    </row>
    <row r="61" spans="1:33" ht="14.4" x14ac:dyDescent="0.3">
      <c r="A61" s="26" t="s">
        <v>779</v>
      </c>
      <c r="B61" s="26" t="s">
        <v>780</v>
      </c>
      <c r="C61" s="27">
        <v>2026</v>
      </c>
      <c r="D61" s="26" t="s">
        <v>769</v>
      </c>
      <c r="E61" s="26" t="s">
        <v>414</v>
      </c>
      <c r="F61" s="26" t="s">
        <v>756</v>
      </c>
      <c r="G61" s="26" t="s">
        <v>781</v>
      </c>
      <c r="H61" s="26"/>
      <c r="I61" s="26" t="s">
        <v>782</v>
      </c>
      <c r="J61" s="26" t="s">
        <v>760</v>
      </c>
      <c r="K61" s="26" t="s">
        <v>39</v>
      </c>
      <c r="L61" s="28">
        <v>46069</v>
      </c>
      <c r="M61" s="26" t="s">
        <v>40</v>
      </c>
      <c r="N61" s="26" t="s">
        <v>80</v>
      </c>
      <c r="O61" s="26" t="s">
        <v>202</v>
      </c>
      <c r="P61" s="26" t="s">
        <v>43</v>
      </c>
      <c r="Q61" s="26" t="s">
        <v>96</v>
      </c>
      <c r="R61" s="26"/>
      <c r="S61" s="26" t="s">
        <v>772</v>
      </c>
      <c r="T61" s="26" t="s">
        <v>660</v>
      </c>
      <c r="U61" s="26"/>
      <c r="V61" s="26" t="s">
        <v>783</v>
      </c>
      <c r="W61" s="26" t="s">
        <v>784</v>
      </c>
      <c r="X61" s="26" t="s">
        <v>785</v>
      </c>
      <c r="Y61" s="26" t="s">
        <v>786</v>
      </c>
      <c r="Z61" s="26"/>
      <c r="AA61" s="26" t="s">
        <v>787</v>
      </c>
      <c r="AB61" s="26" t="s">
        <v>51</v>
      </c>
      <c r="AC61" s="26" t="s">
        <v>52</v>
      </c>
      <c r="AD61" s="26" t="s">
        <v>53</v>
      </c>
      <c r="AE61" s="26" t="s">
        <v>54</v>
      </c>
      <c r="AF61" s="26" t="s">
        <v>788</v>
      </c>
      <c r="AG61" s="28">
        <v>46198</v>
      </c>
    </row>
    <row r="62" spans="1:33" ht="14.4" x14ac:dyDescent="0.3">
      <c r="A62" s="26" t="s">
        <v>789</v>
      </c>
      <c r="B62" s="26" t="s">
        <v>790</v>
      </c>
      <c r="C62" s="27">
        <v>2026</v>
      </c>
      <c r="D62" s="26" t="s">
        <v>769</v>
      </c>
      <c r="E62" s="26" t="s">
        <v>414</v>
      </c>
      <c r="F62" s="26" t="s">
        <v>756</v>
      </c>
      <c r="G62" s="26" t="s">
        <v>791</v>
      </c>
      <c r="H62" s="26"/>
      <c r="I62" s="26" t="s">
        <v>792</v>
      </c>
      <c r="J62" s="26" t="s">
        <v>760</v>
      </c>
      <c r="K62" s="26" t="s">
        <v>39</v>
      </c>
      <c r="L62" s="28">
        <v>46069</v>
      </c>
      <c r="M62" s="26" t="s">
        <v>40</v>
      </c>
      <c r="N62" s="26" t="s">
        <v>80</v>
      </c>
      <c r="O62" s="26" t="s">
        <v>202</v>
      </c>
      <c r="P62" s="26" t="s">
        <v>43</v>
      </c>
      <c r="Q62" s="26" t="s">
        <v>96</v>
      </c>
      <c r="R62" s="26"/>
      <c r="S62" s="26" t="s">
        <v>772</v>
      </c>
      <c r="T62" s="26" t="s">
        <v>660</v>
      </c>
      <c r="U62" s="26"/>
      <c r="V62" s="26" t="s">
        <v>793</v>
      </c>
      <c r="W62" s="26" t="s">
        <v>794</v>
      </c>
      <c r="X62" s="26" t="s">
        <v>795</v>
      </c>
      <c r="Y62" s="26" t="s">
        <v>796</v>
      </c>
      <c r="Z62" s="26"/>
      <c r="AA62" s="26" t="s">
        <v>797</v>
      </c>
      <c r="AB62" s="26" t="s">
        <v>51</v>
      </c>
      <c r="AC62" s="26" t="s">
        <v>52</v>
      </c>
      <c r="AD62" s="26" t="s">
        <v>53</v>
      </c>
      <c r="AE62" s="26" t="s">
        <v>54</v>
      </c>
      <c r="AF62" s="26" t="s">
        <v>798</v>
      </c>
      <c r="AG62" s="28">
        <v>46198</v>
      </c>
    </row>
    <row r="63" spans="1:33" ht="14.4" x14ac:dyDescent="0.3">
      <c r="A63" s="26" t="s">
        <v>799</v>
      </c>
      <c r="B63" s="26" t="s">
        <v>800</v>
      </c>
      <c r="C63" s="27">
        <v>2026</v>
      </c>
      <c r="D63" s="26" t="s">
        <v>769</v>
      </c>
      <c r="E63" s="26" t="s">
        <v>414</v>
      </c>
      <c r="F63" s="26" t="s">
        <v>756</v>
      </c>
      <c r="G63" s="26" t="s">
        <v>801</v>
      </c>
      <c r="H63" s="26"/>
      <c r="I63" s="26" t="s">
        <v>802</v>
      </c>
      <c r="J63" s="26" t="s">
        <v>760</v>
      </c>
      <c r="K63" s="26" t="s">
        <v>39</v>
      </c>
      <c r="L63" s="28">
        <v>46069</v>
      </c>
      <c r="M63" s="26" t="s">
        <v>40</v>
      </c>
      <c r="N63" s="26" t="s">
        <v>80</v>
      </c>
      <c r="O63" s="26" t="s">
        <v>202</v>
      </c>
      <c r="P63" s="26" t="s">
        <v>43</v>
      </c>
      <c r="Q63" s="26" t="s">
        <v>96</v>
      </c>
      <c r="R63" s="26"/>
      <c r="S63" s="26" t="s">
        <v>772</v>
      </c>
      <c r="T63" s="26" t="s">
        <v>660</v>
      </c>
      <c r="U63" s="26"/>
      <c r="V63" s="26" t="s">
        <v>803</v>
      </c>
      <c r="W63" s="26" t="s">
        <v>804</v>
      </c>
      <c r="X63" s="26" t="s">
        <v>805</v>
      </c>
      <c r="Y63" s="26" t="s">
        <v>806</v>
      </c>
      <c r="Z63" s="26"/>
      <c r="AA63" s="26" t="s">
        <v>807</v>
      </c>
      <c r="AB63" s="26" t="s">
        <v>51</v>
      </c>
      <c r="AC63" s="26" t="s">
        <v>52</v>
      </c>
      <c r="AD63" s="26" t="s">
        <v>53</v>
      </c>
      <c r="AE63" s="26" t="s">
        <v>54</v>
      </c>
      <c r="AF63" s="26" t="s">
        <v>808</v>
      </c>
      <c r="AG63" s="28">
        <v>46198</v>
      </c>
    </row>
    <row r="64" spans="1:33" ht="14.4" x14ac:dyDescent="0.3">
      <c r="A64" s="26" t="s">
        <v>809</v>
      </c>
      <c r="B64" s="26" t="s">
        <v>810</v>
      </c>
      <c r="C64" s="27">
        <v>2026</v>
      </c>
      <c r="D64" s="26" t="s">
        <v>811</v>
      </c>
      <c r="E64" s="26" t="s">
        <v>812</v>
      </c>
      <c r="F64" s="26" t="s">
        <v>813</v>
      </c>
      <c r="G64" s="26" t="s">
        <v>814</v>
      </c>
      <c r="H64" s="26" t="s">
        <v>815</v>
      </c>
      <c r="I64" s="26" t="s">
        <v>816</v>
      </c>
      <c r="J64" s="26" t="s">
        <v>817</v>
      </c>
      <c r="K64" s="26" t="s">
        <v>818</v>
      </c>
      <c r="L64" s="28">
        <v>46071</v>
      </c>
      <c r="M64" s="26" t="s">
        <v>40</v>
      </c>
      <c r="N64" s="26" t="s">
        <v>176</v>
      </c>
      <c r="O64" s="26" t="s">
        <v>177</v>
      </c>
      <c r="P64" s="26" t="s">
        <v>43</v>
      </c>
      <c r="Q64" s="26" t="s">
        <v>96</v>
      </c>
      <c r="R64" s="26"/>
      <c r="S64" s="26" t="s">
        <v>819</v>
      </c>
      <c r="T64" s="26"/>
      <c r="U64" s="26" t="s">
        <v>820</v>
      </c>
      <c r="V64" s="26" t="s">
        <v>821</v>
      </c>
      <c r="W64" s="26" t="s">
        <v>822</v>
      </c>
      <c r="X64" s="26" t="s">
        <v>823</v>
      </c>
      <c r="Y64" s="26"/>
      <c r="Z64" s="26"/>
      <c r="AA64" s="26" t="s">
        <v>824</v>
      </c>
      <c r="AB64" s="26" t="s">
        <v>51</v>
      </c>
      <c r="AC64" s="26" t="s">
        <v>52</v>
      </c>
      <c r="AD64" s="26" t="s">
        <v>53</v>
      </c>
      <c r="AE64" s="26" t="s">
        <v>54</v>
      </c>
      <c r="AF64" s="26" t="s">
        <v>825</v>
      </c>
      <c r="AG64" s="28">
        <v>46198</v>
      </c>
    </row>
    <row r="65" spans="1:33" ht="14.4" x14ac:dyDescent="0.3">
      <c r="A65" s="26" t="s">
        <v>826</v>
      </c>
      <c r="B65" s="26" t="s">
        <v>827</v>
      </c>
      <c r="C65" s="27">
        <v>2026</v>
      </c>
      <c r="D65" s="26" t="s">
        <v>828</v>
      </c>
      <c r="E65" s="26" t="s">
        <v>829</v>
      </c>
      <c r="F65" s="26" t="s">
        <v>830</v>
      </c>
      <c r="G65" s="26" t="s">
        <v>831</v>
      </c>
      <c r="H65" s="26" t="s">
        <v>832</v>
      </c>
      <c r="I65" s="26" t="s">
        <v>833</v>
      </c>
      <c r="J65" s="26" t="s">
        <v>834</v>
      </c>
      <c r="K65" s="26" t="s">
        <v>818</v>
      </c>
      <c r="L65" s="28">
        <v>46076</v>
      </c>
      <c r="M65" s="26" t="s">
        <v>40</v>
      </c>
      <c r="N65" s="26" t="s">
        <v>176</v>
      </c>
      <c r="O65" s="26" t="s">
        <v>202</v>
      </c>
      <c r="P65" s="26" t="s">
        <v>43</v>
      </c>
      <c r="Q65" s="26" t="s">
        <v>835</v>
      </c>
      <c r="R65" s="26" t="s">
        <v>836</v>
      </c>
      <c r="S65" s="26" t="s">
        <v>837</v>
      </c>
      <c r="T65" s="26" t="s">
        <v>838</v>
      </c>
      <c r="U65" s="26" t="s">
        <v>839</v>
      </c>
      <c r="V65" s="26" t="s">
        <v>840</v>
      </c>
      <c r="W65" s="26" t="s">
        <v>841</v>
      </c>
      <c r="X65" s="26" t="s">
        <v>842</v>
      </c>
      <c r="Y65" s="26"/>
      <c r="Z65" s="26" t="s">
        <v>843</v>
      </c>
      <c r="AA65" s="26" t="s">
        <v>844</v>
      </c>
      <c r="AB65" s="26" t="s">
        <v>51</v>
      </c>
      <c r="AC65" s="26" t="s">
        <v>52</v>
      </c>
      <c r="AD65" s="26" t="s">
        <v>53</v>
      </c>
      <c r="AE65" s="26" t="s">
        <v>54</v>
      </c>
      <c r="AF65" s="26" t="s">
        <v>845</v>
      </c>
      <c r="AG65" s="28">
        <v>46198</v>
      </c>
    </row>
    <row r="66" spans="1:33" ht="14.4" x14ac:dyDescent="0.3">
      <c r="A66" s="26" t="s">
        <v>846</v>
      </c>
      <c r="B66" s="26" t="s">
        <v>847</v>
      </c>
      <c r="C66" s="27">
        <v>2026</v>
      </c>
      <c r="D66" s="26" t="s">
        <v>848</v>
      </c>
      <c r="E66" s="26" t="s">
        <v>414</v>
      </c>
      <c r="F66" s="26" t="s">
        <v>830</v>
      </c>
      <c r="G66" s="26" t="s">
        <v>849</v>
      </c>
      <c r="H66" s="26" t="s">
        <v>850</v>
      </c>
      <c r="I66" s="26" t="s">
        <v>851</v>
      </c>
      <c r="J66" s="26" t="s">
        <v>817</v>
      </c>
      <c r="K66" s="26" t="s">
        <v>818</v>
      </c>
      <c r="L66" s="28">
        <v>46076</v>
      </c>
      <c r="M66" s="26" t="s">
        <v>40</v>
      </c>
      <c r="N66" s="26" t="s">
        <v>176</v>
      </c>
      <c r="O66" s="26" t="s">
        <v>177</v>
      </c>
      <c r="P66" s="26" t="s">
        <v>43</v>
      </c>
      <c r="Q66" s="26" t="s">
        <v>96</v>
      </c>
      <c r="R66" s="26" t="s">
        <v>852</v>
      </c>
      <c r="S66" s="26" t="s">
        <v>853</v>
      </c>
      <c r="T66" s="26"/>
      <c r="U66" s="26" t="s">
        <v>854</v>
      </c>
      <c r="V66" s="26" t="s">
        <v>855</v>
      </c>
      <c r="W66" s="26" t="s">
        <v>856</v>
      </c>
      <c r="X66" s="26" t="s">
        <v>857</v>
      </c>
      <c r="Y66" s="26" t="s">
        <v>858</v>
      </c>
      <c r="Z66" s="26"/>
      <c r="AA66" s="26" t="s">
        <v>859</v>
      </c>
      <c r="AB66" s="26" t="s">
        <v>51</v>
      </c>
      <c r="AC66" s="26" t="s">
        <v>52</v>
      </c>
      <c r="AD66" s="26" t="s">
        <v>53</v>
      </c>
      <c r="AE66" s="26" t="s">
        <v>54</v>
      </c>
      <c r="AF66" s="26" t="s">
        <v>860</v>
      </c>
      <c r="AG66" s="28">
        <v>46198</v>
      </c>
    </row>
    <row r="67" spans="1:33" ht="14.4" x14ac:dyDescent="0.3">
      <c r="A67" s="26" t="s">
        <v>861</v>
      </c>
      <c r="B67" s="26" t="s">
        <v>862</v>
      </c>
      <c r="C67" s="27">
        <v>2026</v>
      </c>
      <c r="D67" s="26" t="s">
        <v>848</v>
      </c>
      <c r="E67" s="26" t="s">
        <v>414</v>
      </c>
      <c r="F67" s="26" t="s">
        <v>830</v>
      </c>
      <c r="G67" s="26" t="s">
        <v>863</v>
      </c>
      <c r="H67" s="26" t="s">
        <v>864</v>
      </c>
      <c r="I67" s="26" t="s">
        <v>865</v>
      </c>
      <c r="J67" s="26" t="s">
        <v>817</v>
      </c>
      <c r="K67" s="26" t="s">
        <v>818</v>
      </c>
      <c r="L67" s="28">
        <v>46076</v>
      </c>
      <c r="M67" s="26" t="s">
        <v>40</v>
      </c>
      <c r="N67" s="26" t="s">
        <v>176</v>
      </c>
      <c r="O67" s="26" t="s">
        <v>177</v>
      </c>
      <c r="P67" s="26" t="s">
        <v>43</v>
      </c>
      <c r="Q67" s="26" t="s">
        <v>96</v>
      </c>
      <c r="R67" s="26" t="s">
        <v>852</v>
      </c>
      <c r="S67" s="26" t="s">
        <v>853</v>
      </c>
      <c r="T67" s="26"/>
      <c r="U67" s="26" t="s">
        <v>854</v>
      </c>
      <c r="V67" s="26" t="s">
        <v>855</v>
      </c>
      <c r="W67" s="26" t="s">
        <v>866</v>
      </c>
      <c r="X67" s="26" t="s">
        <v>867</v>
      </c>
      <c r="Y67" s="26" t="s">
        <v>868</v>
      </c>
      <c r="Z67" s="26"/>
      <c r="AA67" s="26" t="s">
        <v>869</v>
      </c>
      <c r="AB67" s="26" t="s">
        <v>51</v>
      </c>
      <c r="AC67" s="26" t="s">
        <v>52</v>
      </c>
      <c r="AD67" s="26" t="s">
        <v>53</v>
      </c>
      <c r="AE67" s="26" t="s">
        <v>54</v>
      </c>
      <c r="AF67" s="26" t="s">
        <v>870</v>
      </c>
      <c r="AG67" s="28">
        <v>46198</v>
      </c>
    </row>
    <row r="68" spans="1:33" ht="14.4" x14ac:dyDescent="0.3">
      <c r="A68" s="26" t="s">
        <v>871</v>
      </c>
      <c r="B68" s="26" t="s">
        <v>872</v>
      </c>
      <c r="C68" s="27">
        <v>2026</v>
      </c>
      <c r="D68" s="26" t="s">
        <v>873</v>
      </c>
      <c r="E68" s="26" t="s">
        <v>414</v>
      </c>
      <c r="F68" s="26" t="s">
        <v>830</v>
      </c>
      <c r="G68" s="26" t="s">
        <v>874</v>
      </c>
      <c r="H68" s="26" t="s">
        <v>875</v>
      </c>
      <c r="I68" s="26" t="s">
        <v>876</v>
      </c>
      <c r="J68" s="26" t="s">
        <v>817</v>
      </c>
      <c r="K68" s="26" t="s">
        <v>818</v>
      </c>
      <c r="L68" s="28">
        <v>46076</v>
      </c>
      <c r="M68" s="26" t="s">
        <v>40</v>
      </c>
      <c r="N68" s="26" t="s">
        <v>176</v>
      </c>
      <c r="O68" s="26" t="s">
        <v>177</v>
      </c>
      <c r="P68" s="26" t="s">
        <v>43</v>
      </c>
      <c r="Q68" s="26" t="s">
        <v>96</v>
      </c>
      <c r="R68" s="26" t="s">
        <v>852</v>
      </c>
      <c r="S68" s="26" t="s">
        <v>877</v>
      </c>
      <c r="T68" s="26"/>
      <c r="U68" s="26" t="s">
        <v>878</v>
      </c>
      <c r="V68" s="26" t="s">
        <v>855</v>
      </c>
      <c r="W68" s="26" t="s">
        <v>879</v>
      </c>
      <c r="X68" s="26" t="s">
        <v>880</v>
      </c>
      <c r="Y68" s="26" t="s">
        <v>881</v>
      </c>
      <c r="Z68" s="26"/>
      <c r="AA68" s="26" t="s">
        <v>882</v>
      </c>
      <c r="AB68" s="26" t="s">
        <v>51</v>
      </c>
      <c r="AC68" s="26" t="s">
        <v>52</v>
      </c>
      <c r="AD68" s="26" t="s">
        <v>53</v>
      </c>
      <c r="AE68" s="26" t="s">
        <v>54</v>
      </c>
      <c r="AF68" s="26" t="s">
        <v>883</v>
      </c>
      <c r="AG68" s="28">
        <v>46198</v>
      </c>
    </row>
    <row r="69" spans="1:33" ht="14.4" x14ac:dyDescent="0.3">
      <c r="A69" s="26" t="s">
        <v>884</v>
      </c>
      <c r="B69" s="26" t="s">
        <v>885</v>
      </c>
      <c r="C69" s="27">
        <v>2026</v>
      </c>
      <c r="D69" s="26" t="s">
        <v>886</v>
      </c>
      <c r="E69" s="26" t="s">
        <v>887</v>
      </c>
      <c r="F69" s="26" t="s">
        <v>888</v>
      </c>
      <c r="G69" s="26" t="s">
        <v>889</v>
      </c>
      <c r="H69" s="26"/>
      <c r="I69" s="26" t="s">
        <v>890</v>
      </c>
      <c r="J69" s="26" t="s">
        <v>445</v>
      </c>
      <c r="K69" s="26" t="s">
        <v>231</v>
      </c>
      <c r="L69" s="28">
        <v>46063</v>
      </c>
      <c r="M69" s="26" t="s">
        <v>40</v>
      </c>
      <c r="N69" s="26" t="s">
        <v>80</v>
      </c>
      <c r="O69" s="26" t="s">
        <v>202</v>
      </c>
      <c r="P69" s="26" t="s">
        <v>43</v>
      </c>
      <c r="Q69" s="26" t="s">
        <v>96</v>
      </c>
      <c r="R69" s="26"/>
      <c r="S69" s="26" t="s">
        <v>891</v>
      </c>
      <c r="T69" s="26" t="s">
        <v>660</v>
      </c>
      <c r="U69" s="26"/>
      <c r="V69" s="26" t="s">
        <v>892</v>
      </c>
      <c r="W69" s="26" t="s">
        <v>893</v>
      </c>
      <c r="X69" s="26" t="s">
        <v>894</v>
      </c>
      <c r="Y69" s="26"/>
      <c r="Z69" s="26"/>
      <c r="AA69" s="26" t="s">
        <v>895</v>
      </c>
      <c r="AB69" s="26" t="s">
        <v>51</v>
      </c>
      <c r="AC69" s="26" t="s">
        <v>52</v>
      </c>
      <c r="AD69" s="26" t="s">
        <v>53</v>
      </c>
      <c r="AE69" s="26" t="s">
        <v>54</v>
      </c>
      <c r="AF69" s="26" t="s">
        <v>896</v>
      </c>
      <c r="AG69" s="28">
        <v>46198</v>
      </c>
    </row>
    <row r="70" spans="1:33" ht="14.4" x14ac:dyDescent="0.3">
      <c r="A70" s="26" t="s">
        <v>897</v>
      </c>
      <c r="B70" s="26" t="s">
        <v>898</v>
      </c>
      <c r="C70" s="27">
        <v>2026</v>
      </c>
      <c r="D70" s="26" t="s">
        <v>899</v>
      </c>
      <c r="E70" s="26" t="s">
        <v>900</v>
      </c>
      <c r="F70" s="26" t="s">
        <v>901</v>
      </c>
      <c r="G70" s="26" t="s">
        <v>902</v>
      </c>
      <c r="H70" s="26"/>
      <c r="I70" s="26" t="s">
        <v>903</v>
      </c>
      <c r="J70" s="26"/>
      <c r="K70" s="26" t="s">
        <v>328</v>
      </c>
      <c r="L70" s="28">
        <v>46064</v>
      </c>
      <c r="M70" s="26" t="s">
        <v>40</v>
      </c>
      <c r="N70" s="26" t="s">
        <v>80</v>
      </c>
      <c r="O70" s="26" t="s">
        <v>202</v>
      </c>
      <c r="P70" s="26" t="s">
        <v>43</v>
      </c>
      <c r="Q70" s="26" t="s">
        <v>96</v>
      </c>
      <c r="R70" s="26"/>
      <c r="S70" s="26" t="s">
        <v>904</v>
      </c>
      <c r="T70" s="26" t="s">
        <v>660</v>
      </c>
      <c r="U70" s="26"/>
      <c r="V70" s="26" t="s">
        <v>905</v>
      </c>
      <c r="W70" s="26" t="s">
        <v>906</v>
      </c>
      <c r="X70" s="26" t="s">
        <v>907</v>
      </c>
      <c r="Y70" s="26"/>
      <c r="Z70" s="26"/>
      <c r="AA70" s="26" t="s">
        <v>908</v>
      </c>
      <c r="AB70" s="26" t="s">
        <v>51</v>
      </c>
      <c r="AC70" s="26" t="s">
        <v>52</v>
      </c>
      <c r="AD70" s="26" t="s">
        <v>53</v>
      </c>
      <c r="AE70" s="26" t="s">
        <v>54</v>
      </c>
      <c r="AF70" s="26" t="s">
        <v>909</v>
      </c>
      <c r="AG70" s="28">
        <v>46198</v>
      </c>
    </row>
    <row r="71" spans="1:33" ht="14.4" x14ac:dyDescent="0.3">
      <c r="A71" s="26" t="s">
        <v>910</v>
      </c>
      <c r="B71" s="26" t="s">
        <v>911</v>
      </c>
      <c r="C71" s="27">
        <v>2026</v>
      </c>
      <c r="D71" s="26" t="s">
        <v>912</v>
      </c>
      <c r="E71" s="26" t="s">
        <v>913</v>
      </c>
      <c r="F71" s="26" t="s">
        <v>914</v>
      </c>
      <c r="G71" s="26" t="s">
        <v>915</v>
      </c>
      <c r="H71" s="26" t="s">
        <v>916</v>
      </c>
      <c r="I71" s="26" t="s">
        <v>916</v>
      </c>
      <c r="J71" s="26" t="s">
        <v>95</v>
      </c>
      <c r="K71" s="26" t="s">
        <v>328</v>
      </c>
      <c r="L71" s="28">
        <v>46077</v>
      </c>
      <c r="M71" s="26" t="s">
        <v>40</v>
      </c>
      <c r="N71" s="26" t="s">
        <v>176</v>
      </c>
      <c r="O71" s="26" t="s">
        <v>177</v>
      </c>
      <c r="P71" s="26" t="s">
        <v>43</v>
      </c>
      <c r="Q71" s="26" t="s">
        <v>96</v>
      </c>
      <c r="R71" s="26"/>
      <c r="S71" s="26" t="s">
        <v>917</v>
      </c>
      <c r="T71" s="26"/>
      <c r="U71" s="26"/>
      <c r="V71" s="26" t="s">
        <v>918</v>
      </c>
      <c r="W71" s="26" t="s">
        <v>919</v>
      </c>
      <c r="X71" s="26" t="s">
        <v>920</v>
      </c>
      <c r="Y71" s="26"/>
      <c r="Z71" s="26"/>
      <c r="AA71" s="26" t="s">
        <v>921</v>
      </c>
      <c r="AB71" s="26" t="s">
        <v>51</v>
      </c>
      <c r="AC71" s="26" t="s">
        <v>52</v>
      </c>
      <c r="AD71" s="26" t="s">
        <v>53</v>
      </c>
      <c r="AE71" s="26" t="s">
        <v>54</v>
      </c>
      <c r="AF71" s="26" t="s">
        <v>922</v>
      </c>
      <c r="AG71" s="28">
        <v>46198</v>
      </c>
    </row>
    <row r="72" spans="1:33" ht="14.4" x14ac:dyDescent="0.3">
      <c r="A72" s="26" t="s">
        <v>923</v>
      </c>
      <c r="B72" s="26" t="s">
        <v>924</v>
      </c>
      <c r="C72" s="27">
        <v>2026</v>
      </c>
      <c r="D72" s="26" t="s">
        <v>925</v>
      </c>
      <c r="E72" s="26" t="s">
        <v>926</v>
      </c>
      <c r="F72" s="26" t="s">
        <v>927</v>
      </c>
      <c r="G72" s="26" t="s">
        <v>928</v>
      </c>
      <c r="H72" s="26" t="s">
        <v>929</v>
      </c>
      <c r="I72" s="26" t="s">
        <v>930</v>
      </c>
      <c r="J72" s="26" t="s">
        <v>445</v>
      </c>
      <c r="K72" s="26" t="s">
        <v>39</v>
      </c>
      <c r="L72" s="28" t="s">
        <v>931</v>
      </c>
      <c r="M72" s="26" t="s">
        <v>40</v>
      </c>
      <c r="N72" s="26" t="s">
        <v>176</v>
      </c>
      <c r="O72" s="26" t="s">
        <v>177</v>
      </c>
      <c r="P72" s="26" t="s">
        <v>523</v>
      </c>
      <c r="Q72" s="26" t="s">
        <v>96</v>
      </c>
      <c r="R72" s="26"/>
      <c r="S72" s="26" t="s">
        <v>932</v>
      </c>
      <c r="T72" s="26"/>
      <c r="U72" s="26"/>
      <c r="V72" s="26" t="s">
        <v>933</v>
      </c>
      <c r="W72" s="26" t="s">
        <v>934</v>
      </c>
      <c r="X72" s="26" t="s">
        <v>935</v>
      </c>
      <c r="Y72" s="26"/>
      <c r="Z72" s="26"/>
      <c r="AA72" s="26" t="s">
        <v>921</v>
      </c>
      <c r="AB72" s="26" t="s">
        <v>51</v>
      </c>
      <c r="AC72" s="26" t="s">
        <v>52</v>
      </c>
      <c r="AD72" s="26" t="s">
        <v>53</v>
      </c>
      <c r="AE72" s="26" t="s">
        <v>54</v>
      </c>
      <c r="AF72" s="26" t="s">
        <v>936</v>
      </c>
      <c r="AG72" s="28">
        <v>46198</v>
      </c>
    </row>
    <row r="73" spans="1:33" ht="14.4" x14ac:dyDescent="0.3">
      <c r="A73" s="26" t="s">
        <v>937</v>
      </c>
      <c r="B73" s="26" t="s">
        <v>938</v>
      </c>
      <c r="C73" s="27">
        <v>2026</v>
      </c>
      <c r="D73" s="26" t="s">
        <v>939</v>
      </c>
      <c r="E73" s="26" t="s">
        <v>940</v>
      </c>
      <c r="F73" s="26" t="s">
        <v>941</v>
      </c>
      <c r="G73" s="26" t="s">
        <v>942</v>
      </c>
      <c r="H73" s="26" t="s">
        <v>929</v>
      </c>
      <c r="I73" s="26" t="s">
        <v>943</v>
      </c>
      <c r="J73" s="26" t="s">
        <v>445</v>
      </c>
      <c r="K73" s="26" t="s">
        <v>39</v>
      </c>
      <c r="L73" s="28">
        <v>46078</v>
      </c>
      <c r="M73" s="26" t="s">
        <v>40</v>
      </c>
      <c r="N73" s="26" t="s">
        <v>80</v>
      </c>
      <c r="O73" s="26" t="s">
        <v>202</v>
      </c>
      <c r="P73" s="26" t="s">
        <v>944</v>
      </c>
      <c r="Q73" s="26" t="s">
        <v>96</v>
      </c>
      <c r="R73" s="26"/>
      <c r="S73" s="26" t="s">
        <v>945</v>
      </c>
      <c r="T73" s="26" t="s">
        <v>660</v>
      </c>
      <c r="U73" s="26"/>
      <c r="V73" s="26" t="s">
        <v>946</v>
      </c>
      <c r="W73" s="26" t="s">
        <v>947</v>
      </c>
      <c r="X73" s="26" t="s">
        <v>948</v>
      </c>
      <c r="Y73" s="26" t="s">
        <v>949</v>
      </c>
      <c r="Z73" s="26"/>
      <c r="AA73" s="26" t="s">
        <v>950</v>
      </c>
      <c r="AB73" s="26" t="s">
        <v>51</v>
      </c>
      <c r="AC73" s="26" t="s">
        <v>52</v>
      </c>
      <c r="AD73" s="26" t="s">
        <v>53</v>
      </c>
      <c r="AE73" s="26" t="s">
        <v>54</v>
      </c>
      <c r="AF73" s="26" t="s">
        <v>951</v>
      </c>
      <c r="AG73" s="28">
        <v>46198</v>
      </c>
    </row>
    <row r="74" spans="1:33" ht="14.4" x14ac:dyDescent="0.3">
      <c r="A74" s="26" t="s">
        <v>952</v>
      </c>
      <c r="B74" s="26" t="s">
        <v>953</v>
      </c>
      <c r="C74" s="27">
        <v>2026</v>
      </c>
      <c r="D74" s="26" t="s">
        <v>954</v>
      </c>
      <c r="E74" s="26" t="s">
        <v>940</v>
      </c>
      <c r="F74" s="26" t="s">
        <v>955</v>
      </c>
      <c r="G74" s="26" t="s">
        <v>956</v>
      </c>
      <c r="H74" s="26" t="s">
        <v>957</v>
      </c>
      <c r="I74" s="26" t="s">
        <v>958</v>
      </c>
      <c r="J74" s="26" t="s">
        <v>445</v>
      </c>
      <c r="K74" s="26" t="s">
        <v>39</v>
      </c>
      <c r="L74" s="28">
        <v>46077</v>
      </c>
      <c r="M74" s="26" t="s">
        <v>40</v>
      </c>
      <c r="N74" s="26" t="s">
        <v>80</v>
      </c>
      <c r="O74" s="26" t="s">
        <v>177</v>
      </c>
      <c r="P74" s="26" t="s">
        <v>523</v>
      </c>
      <c r="Q74" s="26" t="s">
        <v>96</v>
      </c>
      <c r="R74" s="26"/>
      <c r="S74" s="26" t="s">
        <v>959</v>
      </c>
      <c r="T74" s="26"/>
      <c r="U74" s="26"/>
      <c r="V74" s="26" t="s">
        <v>960</v>
      </c>
      <c r="W74" s="26" t="s">
        <v>961</v>
      </c>
      <c r="X74" s="26" t="s">
        <v>962</v>
      </c>
      <c r="Y74" s="26"/>
      <c r="Z74" s="26"/>
      <c r="AA74" s="26" t="s">
        <v>963</v>
      </c>
      <c r="AB74" s="26" t="s">
        <v>51</v>
      </c>
      <c r="AC74" s="26" t="s">
        <v>52</v>
      </c>
      <c r="AD74" s="26" t="s">
        <v>53</v>
      </c>
      <c r="AE74" s="26" t="s">
        <v>54</v>
      </c>
      <c r="AF74" s="26" t="s">
        <v>964</v>
      </c>
      <c r="AG74" s="28">
        <v>46198</v>
      </c>
    </row>
    <row r="75" spans="1:33" ht="14.4" x14ac:dyDescent="0.3">
      <c r="A75" s="26" t="s">
        <v>965</v>
      </c>
      <c r="B75" s="26" t="s">
        <v>966</v>
      </c>
      <c r="C75" s="27">
        <v>2026</v>
      </c>
      <c r="D75" s="26" t="s">
        <v>967</v>
      </c>
      <c r="E75" s="26" t="s">
        <v>940</v>
      </c>
      <c r="F75" s="26" t="s">
        <v>941</v>
      </c>
      <c r="G75" s="26" t="s">
        <v>968</v>
      </c>
      <c r="H75" s="26" t="s">
        <v>929</v>
      </c>
      <c r="I75" s="26" t="s">
        <v>969</v>
      </c>
      <c r="J75" s="26" t="s">
        <v>445</v>
      </c>
      <c r="K75" s="26" t="s">
        <v>39</v>
      </c>
      <c r="L75" s="28">
        <v>46078</v>
      </c>
      <c r="M75" s="26" t="s">
        <v>40</v>
      </c>
      <c r="N75" s="26" t="s">
        <v>80</v>
      </c>
      <c r="O75" s="26" t="s">
        <v>202</v>
      </c>
      <c r="P75" s="26" t="s">
        <v>523</v>
      </c>
      <c r="Q75" s="26" t="s">
        <v>96</v>
      </c>
      <c r="R75" s="26"/>
      <c r="S75" s="26" t="s">
        <v>970</v>
      </c>
      <c r="T75" s="26" t="s">
        <v>660</v>
      </c>
      <c r="U75" s="26"/>
      <c r="V75" s="26" t="s">
        <v>971</v>
      </c>
      <c r="W75" s="26" t="s">
        <v>972</v>
      </c>
      <c r="X75" s="26" t="s">
        <v>973</v>
      </c>
      <c r="Y75" s="26" t="s">
        <v>974</v>
      </c>
      <c r="Z75" s="26"/>
      <c r="AA75" s="26" t="s">
        <v>975</v>
      </c>
      <c r="AB75" s="26" t="s">
        <v>51</v>
      </c>
      <c r="AC75" s="26" t="s">
        <v>52</v>
      </c>
      <c r="AD75" s="26" t="s">
        <v>53</v>
      </c>
      <c r="AE75" s="26" t="s">
        <v>54</v>
      </c>
      <c r="AF75" s="26" t="s">
        <v>976</v>
      </c>
      <c r="AG75" s="28">
        <v>46198</v>
      </c>
    </row>
    <row r="76" spans="1:33" ht="14.4" x14ac:dyDescent="0.3">
      <c r="A76" s="26" t="s">
        <v>977</v>
      </c>
      <c r="B76" s="26" t="s">
        <v>978</v>
      </c>
      <c r="C76" s="27">
        <v>2026</v>
      </c>
      <c r="D76" s="26" t="s">
        <v>979</v>
      </c>
      <c r="E76" s="26" t="s">
        <v>940</v>
      </c>
      <c r="F76" s="26" t="s">
        <v>941</v>
      </c>
      <c r="G76" s="26" t="s">
        <v>980</v>
      </c>
      <c r="H76" s="26" t="s">
        <v>929</v>
      </c>
      <c r="I76" s="26" t="s">
        <v>981</v>
      </c>
      <c r="J76" s="26" t="s">
        <v>445</v>
      </c>
      <c r="K76" s="26" t="s">
        <v>39</v>
      </c>
      <c r="L76" s="28">
        <v>46078</v>
      </c>
      <c r="M76" s="26" t="s">
        <v>40</v>
      </c>
      <c r="N76" s="26" t="s">
        <v>176</v>
      </c>
      <c r="O76" s="26" t="s">
        <v>202</v>
      </c>
      <c r="P76" s="26" t="s">
        <v>523</v>
      </c>
      <c r="Q76" s="26" t="s">
        <v>96</v>
      </c>
      <c r="R76" s="26"/>
      <c r="S76" s="26" t="s">
        <v>970</v>
      </c>
      <c r="T76" s="26" t="s">
        <v>660</v>
      </c>
      <c r="U76" s="26"/>
      <c r="V76" s="26" t="s">
        <v>982</v>
      </c>
      <c r="W76" s="26" t="s">
        <v>983</v>
      </c>
      <c r="X76" s="26" t="s">
        <v>984</v>
      </c>
      <c r="Y76" s="26" t="s">
        <v>985</v>
      </c>
      <c r="Z76" s="26"/>
      <c r="AA76" s="26" t="s">
        <v>986</v>
      </c>
      <c r="AB76" s="26" t="s">
        <v>51</v>
      </c>
      <c r="AC76" s="26" t="s">
        <v>52</v>
      </c>
      <c r="AD76" s="26" t="s">
        <v>53</v>
      </c>
      <c r="AE76" s="26" t="s">
        <v>54</v>
      </c>
      <c r="AF76" s="26" t="s">
        <v>987</v>
      </c>
      <c r="AG76" s="28">
        <v>46198</v>
      </c>
    </row>
    <row r="77" spans="1:33" ht="14.4" x14ac:dyDescent="0.3">
      <c r="A77" s="26" t="s">
        <v>988</v>
      </c>
      <c r="B77" s="26" t="s">
        <v>989</v>
      </c>
      <c r="C77" s="27">
        <v>2026</v>
      </c>
      <c r="D77" s="26" t="s">
        <v>990</v>
      </c>
      <c r="E77" s="26" t="s">
        <v>940</v>
      </c>
      <c r="F77" s="26" t="s">
        <v>955</v>
      </c>
      <c r="G77" s="26" t="s">
        <v>991</v>
      </c>
      <c r="H77" s="26" t="s">
        <v>957</v>
      </c>
      <c r="I77" s="26" t="s">
        <v>992</v>
      </c>
      <c r="J77" s="26" t="s">
        <v>445</v>
      </c>
      <c r="K77" s="26" t="s">
        <v>39</v>
      </c>
      <c r="L77" s="28">
        <v>46077</v>
      </c>
      <c r="M77" s="26" t="s">
        <v>40</v>
      </c>
      <c r="N77" s="26" t="s">
        <v>80</v>
      </c>
      <c r="O77" s="26" t="s">
        <v>177</v>
      </c>
      <c r="P77" s="26" t="s">
        <v>523</v>
      </c>
      <c r="Q77" s="26" t="s">
        <v>96</v>
      </c>
      <c r="R77" s="26"/>
      <c r="S77" s="26" t="s">
        <v>993</v>
      </c>
      <c r="T77" s="26"/>
      <c r="U77" s="26" t="s">
        <v>994</v>
      </c>
      <c r="V77" s="26" t="s">
        <v>995</v>
      </c>
      <c r="W77" s="26" t="s">
        <v>996</v>
      </c>
      <c r="X77" s="26" t="s">
        <v>997</v>
      </c>
      <c r="Y77" s="26"/>
      <c r="Z77" s="26"/>
      <c r="AA77" s="26" t="s">
        <v>998</v>
      </c>
      <c r="AB77" s="26" t="s">
        <v>51</v>
      </c>
      <c r="AC77" s="26" t="s">
        <v>52</v>
      </c>
      <c r="AD77" s="26" t="s">
        <v>53</v>
      </c>
      <c r="AE77" s="26" t="s">
        <v>54</v>
      </c>
      <c r="AF77" s="26" t="s">
        <v>999</v>
      </c>
      <c r="AG77" s="28">
        <v>46198</v>
      </c>
    </row>
    <row r="78" spans="1:33" ht="14.4" x14ac:dyDescent="0.3">
      <c r="A78" s="26" t="s">
        <v>1000</v>
      </c>
      <c r="B78" s="26" t="s">
        <v>1001</v>
      </c>
      <c r="C78" s="27">
        <v>2026</v>
      </c>
      <c r="D78" s="26" t="s">
        <v>1002</v>
      </c>
      <c r="E78" s="26" t="s">
        <v>1003</v>
      </c>
      <c r="F78" s="26" t="s">
        <v>1004</v>
      </c>
      <c r="G78" s="26" t="s">
        <v>1005</v>
      </c>
      <c r="H78" s="26" t="s">
        <v>1006</v>
      </c>
      <c r="I78" s="26" t="s">
        <v>1007</v>
      </c>
      <c r="J78" s="26" t="s">
        <v>1008</v>
      </c>
      <c r="K78" s="26" t="s">
        <v>79</v>
      </c>
      <c r="L78" s="28">
        <v>46086</v>
      </c>
      <c r="M78" s="26" t="s">
        <v>40</v>
      </c>
      <c r="N78" s="26" t="s">
        <v>176</v>
      </c>
      <c r="O78" s="26" t="s">
        <v>177</v>
      </c>
      <c r="P78" s="26" t="s">
        <v>43</v>
      </c>
      <c r="Q78" s="26" t="s">
        <v>96</v>
      </c>
      <c r="R78" s="26"/>
      <c r="S78" s="26" t="s">
        <v>1009</v>
      </c>
      <c r="T78" s="26" t="s">
        <v>1010</v>
      </c>
      <c r="U78" s="26"/>
      <c r="V78" s="26" t="s">
        <v>1011</v>
      </c>
      <c r="W78" s="26" t="s">
        <v>1012</v>
      </c>
      <c r="X78" s="26" t="s">
        <v>1013</v>
      </c>
      <c r="Y78" s="26"/>
      <c r="Z78" s="26"/>
      <c r="AA78" s="26" t="s">
        <v>1014</v>
      </c>
      <c r="AB78" s="26" t="s">
        <v>51</v>
      </c>
      <c r="AC78" s="26" t="s">
        <v>52</v>
      </c>
      <c r="AD78" s="26" t="s">
        <v>53</v>
      </c>
      <c r="AE78" s="26" t="s">
        <v>54</v>
      </c>
      <c r="AF78" s="26" t="s">
        <v>1015</v>
      </c>
      <c r="AG78" s="28">
        <v>46198</v>
      </c>
    </row>
    <row r="79" spans="1:33" ht="14.4" x14ac:dyDescent="0.3">
      <c r="A79" s="26" t="s">
        <v>1016</v>
      </c>
      <c r="B79" s="26" t="s">
        <v>548</v>
      </c>
      <c r="C79" s="27">
        <v>2026</v>
      </c>
      <c r="D79" s="26" t="s">
        <v>1017</v>
      </c>
      <c r="E79" s="26" t="s">
        <v>1018</v>
      </c>
      <c r="F79" s="26" t="s">
        <v>1019</v>
      </c>
      <c r="G79" s="26" t="s">
        <v>1020</v>
      </c>
      <c r="H79" s="26" t="s">
        <v>1021</v>
      </c>
      <c r="I79" s="26" t="s">
        <v>1021</v>
      </c>
      <c r="J79" s="26" t="s">
        <v>95</v>
      </c>
      <c r="K79" s="26" t="s">
        <v>328</v>
      </c>
      <c r="L79" s="28">
        <v>46091</v>
      </c>
      <c r="M79" s="26" t="s">
        <v>40</v>
      </c>
      <c r="N79" s="26" t="s">
        <v>80</v>
      </c>
      <c r="O79" s="26" t="s">
        <v>177</v>
      </c>
      <c r="P79" s="26" t="s">
        <v>43</v>
      </c>
      <c r="Q79" s="26" t="s">
        <v>96</v>
      </c>
      <c r="R79" s="26"/>
      <c r="S79" s="26" t="s">
        <v>1022</v>
      </c>
      <c r="T79" s="26"/>
      <c r="U79" s="26"/>
      <c r="V79" s="26" t="s">
        <v>1023</v>
      </c>
      <c r="W79" s="26" t="s">
        <v>1024</v>
      </c>
      <c r="X79" s="26" t="s">
        <v>1025</v>
      </c>
      <c r="Y79" s="26"/>
      <c r="Z79" s="26"/>
      <c r="AA79" s="26" t="s">
        <v>1026</v>
      </c>
      <c r="AB79" s="26" t="s">
        <v>51</v>
      </c>
      <c r="AC79" s="26" t="s">
        <v>52</v>
      </c>
      <c r="AD79" s="26" t="s">
        <v>53</v>
      </c>
      <c r="AE79" s="26" t="s">
        <v>54</v>
      </c>
      <c r="AF79" s="26" t="s">
        <v>1027</v>
      </c>
      <c r="AG79" s="28">
        <v>46198</v>
      </c>
    </row>
    <row r="80" spans="1:33" ht="14.4" x14ac:dyDescent="0.3">
      <c r="A80" s="26" t="s">
        <v>1028</v>
      </c>
      <c r="B80" s="26" t="s">
        <v>578</v>
      </c>
      <c r="C80" s="27">
        <v>2026</v>
      </c>
      <c r="D80" s="26" t="s">
        <v>1029</v>
      </c>
      <c r="E80" s="26" t="s">
        <v>1030</v>
      </c>
      <c r="F80" s="26" t="s">
        <v>1031</v>
      </c>
      <c r="G80" s="26" t="s">
        <v>1032</v>
      </c>
      <c r="H80" s="26" t="s">
        <v>1033</v>
      </c>
      <c r="I80" s="26" t="s">
        <v>1034</v>
      </c>
      <c r="J80" s="26" t="s">
        <v>1035</v>
      </c>
      <c r="K80" s="26" t="s">
        <v>79</v>
      </c>
      <c r="L80" s="28">
        <v>46097</v>
      </c>
      <c r="M80" s="26" t="s">
        <v>40</v>
      </c>
      <c r="N80" s="26" t="s">
        <v>176</v>
      </c>
      <c r="O80" s="26" t="s">
        <v>202</v>
      </c>
      <c r="P80" s="26" t="s">
        <v>43</v>
      </c>
      <c r="Q80" s="26" t="s">
        <v>1036</v>
      </c>
      <c r="R80" s="26"/>
      <c r="S80" s="26" t="s">
        <v>891</v>
      </c>
      <c r="T80" s="26" t="s">
        <v>660</v>
      </c>
      <c r="U80" s="26"/>
      <c r="V80" s="26" t="s">
        <v>1037</v>
      </c>
      <c r="W80" s="26" t="s">
        <v>1038</v>
      </c>
      <c r="X80" s="26" t="s">
        <v>1039</v>
      </c>
      <c r="Y80" s="26"/>
      <c r="Z80" s="26"/>
      <c r="AA80" s="26" t="s">
        <v>1040</v>
      </c>
      <c r="AB80" s="26" t="s">
        <v>51</v>
      </c>
      <c r="AC80" s="26" t="s">
        <v>52</v>
      </c>
      <c r="AD80" s="26" t="s">
        <v>53</v>
      </c>
      <c r="AE80" s="26" t="s">
        <v>54</v>
      </c>
      <c r="AF80" s="26" t="s">
        <v>1041</v>
      </c>
      <c r="AG80" s="28">
        <v>46198</v>
      </c>
    </row>
    <row r="81" spans="1:33" ht="14.4" x14ac:dyDescent="0.3">
      <c r="A81" s="26" t="s">
        <v>1042</v>
      </c>
      <c r="B81" s="26" t="s">
        <v>1043</v>
      </c>
      <c r="C81" s="27">
        <v>2026</v>
      </c>
      <c r="D81" s="26" t="s">
        <v>1044</v>
      </c>
      <c r="E81" s="26" t="s">
        <v>187</v>
      </c>
      <c r="F81" s="26" t="s">
        <v>1045</v>
      </c>
      <c r="G81" s="26" t="s">
        <v>1046</v>
      </c>
      <c r="H81" s="26" t="s">
        <v>1047</v>
      </c>
      <c r="I81" s="26" t="s">
        <v>1048</v>
      </c>
      <c r="J81" s="26" t="s">
        <v>215</v>
      </c>
      <c r="K81" s="26" t="s">
        <v>328</v>
      </c>
      <c r="L81" s="28">
        <v>46097</v>
      </c>
      <c r="M81" s="26" t="s">
        <v>40</v>
      </c>
      <c r="N81" s="26" t="s">
        <v>176</v>
      </c>
      <c r="O81" s="26" t="s">
        <v>202</v>
      </c>
      <c r="P81" s="26" t="s">
        <v>43</v>
      </c>
      <c r="Q81" s="26" t="s">
        <v>1036</v>
      </c>
      <c r="R81" s="26"/>
      <c r="S81" s="26" t="s">
        <v>891</v>
      </c>
      <c r="T81" s="26" t="s">
        <v>660</v>
      </c>
      <c r="U81" s="26"/>
      <c r="V81" s="26" t="s">
        <v>1049</v>
      </c>
      <c r="W81" s="26" t="s">
        <v>1050</v>
      </c>
      <c r="X81" s="26" t="s">
        <v>1051</v>
      </c>
      <c r="Y81" s="26"/>
      <c r="Z81" s="26"/>
      <c r="AA81" s="26" t="s">
        <v>1052</v>
      </c>
      <c r="AB81" s="26" t="s">
        <v>51</v>
      </c>
      <c r="AC81" s="26" t="s">
        <v>52</v>
      </c>
      <c r="AD81" s="26" t="s">
        <v>53</v>
      </c>
      <c r="AE81" s="26" t="s">
        <v>54</v>
      </c>
      <c r="AF81" s="26" t="s">
        <v>1053</v>
      </c>
      <c r="AG81" s="28">
        <v>46198</v>
      </c>
    </row>
    <row r="82" spans="1:33" ht="14.4" x14ac:dyDescent="0.3">
      <c r="A82" s="26" t="s">
        <v>1054</v>
      </c>
      <c r="B82" s="26" t="s">
        <v>1055</v>
      </c>
      <c r="C82" s="27">
        <v>2026</v>
      </c>
      <c r="D82" s="26" t="s">
        <v>1056</v>
      </c>
      <c r="E82" s="26" t="s">
        <v>1057</v>
      </c>
      <c r="F82" s="26" t="s">
        <v>1058</v>
      </c>
      <c r="G82" s="26" t="s">
        <v>1059</v>
      </c>
      <c r="H82" s="26" t="s">
        <v>1060</v>
      </c>
      <c r="I82" s="26" t="s">
        <v>1061</v>
      </c>
      <c r="J82" s="26" t="s">
        <v>95</v>
      </c>
      <c r="K82" s="26" t="s">
        <v>328</v>
      </c>
      <c r="L82" s="28">
        <v>46111</v>
      </c>
      <c r="M82" s="26" t="s">
        <v>40</v>
      </c>
      <c r="N82" s="26" t="s">
        <v>469</v>
      </c>
      <c r="O82" s="26" t="s">
        <v>177</v>
      </c>
      <c r="P82" s="26" t="s">
        <v>1062</v>
      </c>
      <c r="Q82" s="26" t="s">
        <v>96</v>
      </c>
      <c r="R82" s="26"/>
      <c r="S82" s="26" t="s">
        <v>1063</v>
      </c>
      <c r="T82" s="26"/>
      <c r="U82" s="26"/>
      <c r="V82" s="26" t="s">
        <v>1064</v>
      </c>
      <c r="W82" s="26" t="s">
        <v>1065</v>
      </c>
      <c r="X82" s="26" t="s">
        <v>1066</v>
      </c>
      <c r="Y82" s="26" t="s">
        <v>1067</v>
      </c>
      <c r="Z82" s="26"/>
      <c r="AA82" s="26" t="s">
        <v>1068</v>
      </c>
      <c r="AB82" s="26" t="s">
        <v>51</v>
      </c>
      <c r="AC82" s="26" t="s">
        <v>52</v>
      </c>
      <c r="AD82" s="26" t="s">
        <v>53</v>
      </c>
      <c r="AE82" s="26" t="s">
        <v>54</v>
      </c>
      <c r="AF82" s="26" t="s">
        <v>1069</v>
      </c>
      <c r="AG82" s="28">
        <v>46198</v>
      </c>
    </row>
    <row r="83" spans="1:33" ht="14.4" x14ac:dyDescent="0.3">
      <c r="A83" s="26" t="s">
        <v>1070</v>
      </c>
      <c r="B83" s="26" t="s">
        <v>1071</v>
      </c>
      <c r="C83" s="27">
        <v>2026</v>
      </c>
      <c r="D83" s="26" t="s">
        <v>1072</v>
      </c>
      <c r="E83" s="26" t="s">
        <v>414</v>
      </c>
      <c r="F83" s="26" t="s">
        <v>1073</v>
      </c>
      <c r="G83" s="26" t="s">
        <v>1074</v>
      </c>
      <c r="H83" s="26" t="s">
        <v>1075</v>
      </c>
      <c r="I83" s="26" t="s">
        <v>1075</v>
      </c>
      <c r="J83" s="26" t="s">
        <v>1076</v>
      </c>
      <c r="K83" s="26" t="s">
        <v>79</v>
      </c>
      <c r="L83" s="28">
        <v>46125</v>
      </c>
      <c r="M83" s="26" t="s">
        <v>40</v>
      </c>
      <c r="N83" s="26" t="s">
        <v>1077</v>
      </c>
      <c r="O83" s="26" t="s">
        <v>177</v>
      </c>
      <c r="P83" s="26" t="s">
        <v>43</v>
      </c>
      <c r="Q83" s="26" t="s">
        <v>96</v>
      </c>
      <c r="R83" s="26" t="s">
        <v>1078</v>
      </c>
      <c r="S83" s="26" t="s">
        <v>1079</v>
      </c>
      <c r="T83" s="26" t="s">
        <v>1080</v>
      </c>
      <c r="U83" s="26"/>
      <c r="V83" s="26" t="s">
        <v>1081</v>
      </c>
      <c r="W83" s="26" t="s">
        <v>1082</v>
      </c>
      <c r="X83" s="26" t="s">
        <v>1083</v>
      </c>
      <c r="Y83" s="26"/>
      <c r="Z83" s="26"/>
      <c r="AA83" s="26" t="s">
        <v>1084</v>
      </c>
      <c r="AB83" s="26" t="s">
        <v>51</v>
      </c>
      <c r="AC83" s="26" t="s">
        <v>52</v>
      </c>
      <c r="AD83" s="26" t="s">
        <v>53</v>
      </c>
      <c r="AE83" s="26" t="s">
        <v>54</v>
      </c>
      <c r="AF83" s="26" t="s">
        <v>1085</v>
      </c>
      <c r="AG83" s="28">
        <v>46198</v>
      </c>
    </row>
    <row r="84" spans="1:33" ht="14.4" x14ac:dyDescent="0.3">
      <c r="A84" s="26" t="s">
        <v>1086</v>
      </c>
      <c r="B84" s="26"/>
      <c r="C84" s="27"/>
      <c r="D84" s="26"/>
      <c r="E84" s="26"/>
      <c r="F84" s="26"/>
      <c r="G84" s="26"/>
      <c r="H84" s="26"/>
      <c r="I84" s="26"/>
      <c r="J84" s="26"/>
      <c r="K84" s="26"/>
      <c r="L84" s="28"/>
      <c r="M84" s="26" t="s">
        <v>40</v>
      </c>
      <c r="N84" s="26"/>
      <c r="O84" s="26"/>
      <c r="P84" s="26"/>
      <c r="Q84" s="26"/>
      <c r="R84" s="26"/>
      <c r="S84" s="26"/>
      <c r="T84" s="26"/>
      <c r="U84" s="26"/>
      <c r="V84" s="26"/>
      <c r="W84" s="26"/>
      <c r="X84" s="26"/>
      <c r="Y84" s="26"/>
      <c r="Z84" s="26"/>
      <c r="AA84" s="26" t="s">
        <v>1087</v>
      </c>
      <c r="AB84" s="26" t="s">
        <v>51</v>
      </c>
      <c r="AC84" s="26" t="s">
        <v>52</v>
      </c>
      <c r="AD84" s="26" t="s">
        <v>53</v>
      </c>
      <c r="AE84" s="26" t="s">
        <v>1088</v>
      </c>
      <c r="AF84" s="26" t="s">
        <v>1089</v>
      </c>
      <c r="AG84" s="28">
        <v>46198</v>
      </c>
    </row>
    <row r="85" spans="1:33" ht="14.4" x14ac:dyDescent="0.3">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row>
    <row r="86" spans="1:33" ht="14.4" x14ac:dyDescent="0.3">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row>
    <row r="87" spans="1:33" ht="14.4" x14ac:dyDescent="0.3">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row>
    <row r="88" spans="1:33" ht="14.4" x14ac:dyDescent="0.3">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row>
    <row r="89" spans="1:33" ht="14.4" x14ac:dyDescent="0.3">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row>
    <row r="90" spans="1:33" ht="14.4" x14ac:dyDescent="0.3">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row>
    <row r="91" spans="1:33" ht="14.4" x14ac:dyDescent="0.3">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row>
    <row r="92" spans="1:33" ht="14.4" x14ac:dyDescent="0.3">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row>
    <row r="93" spans="1:33" ht="14.4" x14ac:dyDescent="0.3">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row>
    <row r="94" spans="1:33" ht="14.4" x14ac:dyDescent="0.3">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row>
    <row r="95" spans="1:33" ht="14.4" x14ac:dyDescent="0.3">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row>
    <row r="96" spans="1:33" ht="14.4" x14ac:dyDescent="0.3">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row>
    <row r="97" spans="1:33" ht="15.75" customHeight="1" x14ac:dyDescent="0.3">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row>
    <row r="98" spans="1:33" ht="15.75" customHeight="1" x14ac:dyDescent="0.3">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row>
    <row r="99" spans="1:33" ht="15.75" customHeight="1" x14ac:dyDescent="0.3">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row>
    <row r="100" spans="1:33" ht="15.75" customHeight="1" x14ac:dyDescent="0.3">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row>
    <row r="101" spans="1:33" ht="15.75" customHeight="1" x14ac:dyDescent="0.3">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row>
    <row r="102" spans="1:33" ht="15.75" customHeight="1" x14ac:dyDescent="0.3">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row>
    <row r="103" spans="1:33" ht="15.75" customHeight="1" x14ac:dyDescent="0.3">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row>
    <row r="104" spans="1:33" ht="15.75" customHeight="1" x14ac:dyDescent="0.3">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row>
    <row r="105" spans="1:33" ht="15.75" customHeight="1" x14ac:dyDescent="0.3">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row>
    <row r="106" spans="1:33" ht="15.75" customHeight="1" x14ac:dyDescent="0.3">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row>
    <row r="107" spans="1:33" ht="15.75" customHeight="1" x14ac:dyDescent="0.3">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row>
    <row r="108" spans="1:33" ht="15.75" customHeight="1" x14ac:dyDescent="0.3">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row>
    <row r="109" spans="1:33" ht="15.75" customHeight="1" x14ac:dyDescent="0.3">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row>
    <row r="110" spans="1:33" ht="15.75" customHeight="1" x14ac:dyDescent="0.3">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row>
    <row r="111" spans="1:33" ht="15.75" customHeight="1" x14ac:dyDescent="0.3">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row>
    <row r="112" spans="1:33" ht="15.75" customHeight="1" x14ac:dyDescent="0.3">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row>
    <row r="113" spans="1:33" ht="15.75" customHeight="1" x14ac:dyDescent="0.3">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row>
    <row r="114" spans="1:33" ht="15.75" customHeight="1" x14ac:dyDescent="0.3">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row>
    <row r="115" spans="1:33" ht="15.75" customHeight="1" x14ac:dyDescent="0.3">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row>
    <row r="116" spans="1:33" ht="15.75" customHeight="1" x14ac:dyDescent="0.3">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row>
    <row r="117" spans="1:33" ht="15.75" customHeight="1" x14ac:dyDescent="0.3">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row>
    <row r="118" spans="1:33" ht="15.75" customHeight="1" x14ac:dyDescent="0.3">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row>
    <row r="119" spans="1:33" ht="15.75" customHeight="1" x14ac:dyDescent="0.3">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row>
    <row r="120" spans="1:33" ht="15.75" customHeight="1" x14ac:dyDescent="0.3">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row>
    <row r="121" spans="1:33" ht="15.75" customHeight="1" x14ac:dyDescent="0.3">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row>
    <row r="122" spans="1:33" ht="15.75" customHeight="1" x14ac:dyDescent="0.3">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row>
    <row r="123" spans="1:33" ht="15.75" customHeight="1" x14ac:dyDescent="0.3">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row>
    <row r="124" spans="1:33" ht="15.75" customHeight="1" x14ac:dyDescent="0.3">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row>
    <row r="125" spans="1:33" ht="15.75" customHeight="1" x14ac:dyDescent="0.3">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row>
    <row r="126" spans="1:33" ht="15.75" customHeight="1" x14ac:dyDescent="0.3">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row>
    <row r="127" spans="1:33" ht="15.75" customHeight="1" x14ac:dyDescent="0.3">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row>
    <row r="128" spans="1:33" ht="15.75" customHeight="1" x14ac:dyDescent="0.3">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row>
    <row r="129" spans="1:33" ht="15.75" customHeight="1" x14ac:dyDescent="0.3">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row>
    <row r="130" spans="1:33" ht="15.75" customHeight="1" x14ac:dyDescent="0.3">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row>
    <row r="131" spans="1:33" ht="15.75" customHeight="1" x14ac:dyDescent="0.3">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row>
    <row r="132" spans="1:33" ht="15.75" customHeight="1" x14ac:dyDescent="0.3">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row>
    <row r="133" spans="1:33" ht="15.75" customHeight="1" x14ac:dyDescent="0.3">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row>
    <row r="134" spans="1:33" ht="15.75" customHeight="1" x14ac:dyDescent="0.3">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row>
    <row r="135" spans="1:33" ht="15.75" customHeight="1" x14ac:dyDescent="0.3">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row>
    <row r="136" spans="1:33" ht="15.75" customHeight="1" x14ac:dyDescent="0.3">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row>
    <row r="137" spans="1:33" ht="15.75" customHeight="1" x14ac:dyDescent="0.3">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row>
    <row r="138" spans="1:33" ht="15.75" customHeight="1" x14ac:dyDescent="0.3">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row>
    <row r="139" spans="1:33" ht="15.75" customHeight="1" x14ac:dyDescent="0.3">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row>
    <row r="140" spans="1:33" ht="15.75" customHeight="1" x14ac:dyDescent="0.3">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row>
    <row r="141" spans="1:33" ht="15.75" customHeight="1" x14ac:dyDescent="0.3">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row>
    <row r="142" spans="1:33" ht="15.75" customHeight="1" x14ac:dyDescent="0.3">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row>
    <row r="143" spans="1:33" ht="15.75" customHeight="1" x14ac:dyDescent="0.3">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row>
    <row r="144" spans="1:33" ht="15.75" customHeight="1" x14ac:dyDescent="0.3">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row>
    <row r="145" spans="1:33" ht="15.75" customHeight="1" x14ac:dyDescent="0.3">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row>
    <row r="146" spans="1:33" ht="15.75" customHeight="1" x14ac:dyDescent="0.3">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row>
    <row r="147" spans="1:33" ht="15.75" customHeight="1" x14ac:dyDescent="0.3">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row>
    <row r="148" spans="1:33" ht="15.75" customHeight="1" x14ac:dyDescent="0.3">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row>
    <row r="149" spans="1:33" ht="15.75" customHeight="1" x14ac:dyDescent="0.3">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row>
    <row r="150" spans="1:33" ht="15.75" customHeight="1" x14ac:dyDescent="0.3">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row>
    <row r="151" spans="1:33" ht="15.75" customHeight="1" x14ac:dyDescent="0.3">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row>
    <row r="152" spans="1:33" ht="15.75" customHeight="1" x14ac:dyDescent="0.3">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row>
    <row r="153" spans="1:33" ht="15.75" customHeight="1" x14ac:dyDescent="0.3">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row>
    <row r="154" spans="1:33" ht="15.75" customHeight="1" x14ac:dyDescent="0.3">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row>
    <row r="155" spans="1:33" ht="15.75" customHeight="1" x14ac:dyDescent="0.3">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row>
    <row r="156" spans="1:33" ht="15.75" customHeight="1" x14ac:dyDescent="0.3">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row>
    <row r="157" spans="1:33" ht="15.75" customHeight="1" x14ac:dyDescent="0.3">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row>
    <row r="158" spans="1:33" ht="15.75" customHeight="1" x14ac:dyDescent="0.3">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row>
    <row r="159" spans="1:33" ht="15.75" customHeight="1" x14ac:dyDescent="0.3">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row>
    <row r="160" spans="1:33" ht="15.75" customHeight="1" x14ac:dyDescent="0.3">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row>
    <row r="161" spans="1:33" ht="15.75" customHeight="1" x14ac:dyDescent="0.3">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row>
    <row r="162" spans="1:33" ht="15.75" customHeight="1" x14ac:dyDescent="0.3">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row>
    <row r="163" spans="1:33" ht="15.75" customHeight="1" x14ac:dyDescent="0.3">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row>
    <row r="164" spans="1:33" ht="15.75" customHeight="1" x14ac:dyDescent="0.3">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row>
    <row r="165" spans="1:33" ht="15.75" customHeight="1" x14ac:dyDescent="0.3">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row>
    <row r="166" spans="1:33" ht="15.75" customHeight="1" x14ac:dyDescent="0.3">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row>
    <row r="167" spans="1:33" ht="15.75" customHeight="1" x14ac:dyDescent="0.3">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row>
    <row r="168" spans="1:33" ht="15.75" customHeight="1" x14ac:dyDescent="0.3">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row>
    <row r="169" spans="1:33" ht="15.75" customHeight="1" x14ac:dyDescent="0.3">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row>
    <row r="170" spans="1:33" ht="15.75" customHeight="1" x14ac:dyDescent="0.3">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row>
    <row r="171" spans="1:33" ht="15.75" customHeight="1" x14ac:dyDescent="0.3">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row>
    <row r="172" spans="1:33" ht="15.75" customHeight="1" x14ac:dyDescent="0.3">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row>
    <row r="173" spans="1:33" ht="15.75" customHeight="1" x14ac:dyDescent="0.3">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row>
    <row r="174" spans="1:33" ht="15.75" customHeight="1" x14ac:dyDescent="0.3">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row>
    <row r="175" spans="1:33" ht="15.75" customHeight="1" x14ac:dyDescent="0.3">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row>
    <row r="176" spans="1:33" ht="15.75" customHeight="1" x14ac:dyDescent="0.3">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row>
    <row r="177" spans="1:33" ht="15.75" customHeight="1" x14ac:dyDescent="0.3">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row>
    <row r="178" spans="1:33" ht="15.75" customHeight="1" x14ac:dyDescent="0.3">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row>
    <row r="179" spans="1:33" ht="15.75" customHeight="1" x14ac:dyDescent="0.3">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row>
    <row r="180" spans="1:33" ht="15.75" customHeight="1" x14ac:dyDescent="0.3">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row>
    <row r="181" spans="1:33" ht="15.75" customHeight="1" x14ac:dyDescent="0.3">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row>
    <row r="182" spans="1:33" ht="15.75" customHeight="1" x14ac:dyDescent="0.3">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row>
    <row r="183" spans="1:33" ht="15.75" customHeight="1" x14ac:dyDescent="0.3">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row>
    <row r="184" spans="1:33" ht="15.75" customHeight="1" x14ac:dyDescent="0.3">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row>
    <row r="185" spans="1:33" ht="15.75" customHeight="1" x14ac:dyDescent="0.3">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row>
    <row r="186" spans="1:33" ht="15.75" customHeight="1" x14ac:dyDescent="0.3">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row>
    <row r="187" spans="1:33" ht="15.75" customHeight="1" x14ac:dyDescent="0.3">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row>
    <row r="188" spans="1:33" ht="15.75" customHeight="1" x14ac:dyDescent="0.3">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row>
    <row r="189" spans="1:33" ht="15.75" customHeight="1" x14ac:dyDescent="0.3">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row>
    <row r="190" spans="1:33" ht="15.75" customHeight="1" x14ac:dyDescent="0.3">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row>
    <row r="191" spans="1:33" ht="15.75" customHeight="1" x14ac:dyDescent="0.3">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row>
    <row r="192" spans="1:33" ht="15.75" customHeight="1" x14ac:dyDescent="0.3">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row>
    <row r="193" spans="1:33" ht="15.75" customHeight="1" x14ac:dyDescent="0.3">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row>
    <row r="194" spans="1:33" ht="15.75" customHeight="1" x14ac:dyDescent="0.3">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row>
    <row r="195" spans="1:33" ht="15.75" customHeight="1" x14ac:dyDescent="0.3">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row>
    <row r="196" spans="1:33" ht="15.75" customHeight="1" x14ac:dyDescent="0.3">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row>
    <row r="197" spans="1:33" ht="15.75" customHeight="1" x14ac:dyDescent="0.3">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row>
    <row r="198" spans="1:33" ht="15.75" customHeight="1" x14ac:dyDescent="0.3">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row>
    <row r="199" spans="1:33" ht="15.75" customHeight="1" x14ac:dyDescent="0.3">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row>
    <row r="200" spans="1:33" ht="15.75" customHeight="1" x14ac:dyDescent="0.3">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row>
    <row r="201" spans="1:33" ht="15.75" customHeight="1" x14ac:dyDescent="0.3">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row>
    <row r="202" spans="1:33" ht="15.75" customHeight="1" x14ac:dyDescent="0.3">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row>
    <row r="203" spans="1:33" ht="15.75" customHeight="1" x14ac:dyDescent="0.3">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row>
    <row r="204" spans="1:33" ht="15.75" customHeight="1" x14ac:dyDescent="0.3">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row>
    <row r="205" spans="1:33" ht="15.75" customHeight="1" x14ac:dyDescent="0.3">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row>
    <row r="206" spans="1:33" ht="15.75" customHeight="1" x14ac:dyDescent="0.3">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row>
    <row r="207" spans="1:33" ht="15.75" customHeight="1" x14ac:dyDescent="0.3">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c r="AG207" s="5"/>
    </row>
    <row r="208" spans="1:33" ht="15.75" customHeight="1" x14ac:dyDescent="0.3">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c r="AG208" s="5"/>
    </row>
    <row r="209" spans="1:33" ht="15.75" customHeight="1" x14ac:dyDescent="0.3">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c r="AG209" s="5"/>
    </row>
    <row r="210" spans="1:33" ht="15.75" customHeight="1" x14ac:dyDescent="0.3">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c r="AG210" s="5"/>
    </row>
    <row r="211" spans="1:33" ht="15.75" customHeight="1" x14ac:dyDescent="0.3">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c r="AG211" s="5"/>
    </row>
    <row r="212" spans="1:33" ht="15.75" customHeight="1" x14ac:dyDescent="0.3">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c r="AG212" s="5"/>
    </row>
    <row r="213" spans="1:33" ht="15.75" customHeight="1" x14ac:dyDescent="0.3">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c r="AG213" s="5"/>
    </row>
    <row r="214" spans="1:33" ht="15.75" customHeight="1" x14ac:dyDescent="0.3">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c r="AG214" s="5"/>
    </row>
    <row r="215" spans="1:33" ht="15.75" customHeight="1" x14ac:dyDescent="0.3">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c r="AG215" s="5"/>
    </row>
    <row r="216" spans="1:33" ht="15.75" customHeight="1" x14ac:dyDescent="0.3">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c r="AG216" s="5"/>
    </row>
    <row r="217" spans="1:33" ht="15.75" customHeight="1" x14ac:dyDescent="0.3">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c r="AG217" s="5"/>
    </row>
    <row r="218" spans="1:33" ht="15.75" customHeight="1" x14ac:dyDescent="0.3">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c r="AG218" s="5"/>
    </row>
    <row r="219" spans="1:33" ht="15.75" customHeight="1" x14ac:dyDescent="0.3">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c r="AG219" s="5"/>
    </row>
    <row r="220" spans="1:33" ht="15.75" customHeight="1" x14ac:dyDescent="0.3">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c r="AG220" s="5"/>
    </row>
    <row r="221" spans="1:33" ht="15.75" customHeight="1" x14ac:dyDescent="0.3">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c r="AG221" s="5"/>
    </row>
    <row r="222" spans="1:33" ht="15.75" customHeight="1" x14ac:dyDescent="0.3">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c r="AG222" s="5"/>
    </row>
    <row r="223" spans="1:33" ht="15.75" customHeight="1" x14ac:dyDescent="0.3">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c r="AG223" s="5"/>
    </row>
    <row r="224" spans="1:33" ht="15.75" customHeight="1" x14ac:dyDescent="0.3">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c r="AG224" s="5"/>
    </row>
    <row r="225" spans="1:33" ht="15.75" customHeight="1" x14ac:dyDescent="0.3">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c r="AG225" s="5"/>
    </row>
    <row r="226" spans="1:33" ht="15.75" customHeight="1" x14ac:dyDescent="0.3">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c r="AG226" s="5"/>
    </row>
    <row r="227" spans="1:33" ht="15.75" customHeight="1" x14ac:dyDescent="0.3">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c r="AG227" s="5"/>
    </row>
    <row r="228" spans="1:33" ht="15.75" customHeight="1" x14ac:dyDescent="0.3">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c r="AG228" s="5"/>
    </row>
    <row r="229" spans="1:33" ht="15.75" customHeight="1" x14ac:dyDescent="0.3">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c r="AG229" s="5"/>
    </row>
    <row r="230" spans="1:33" ht="15.75" customHeight="1" x14ac:dyDescent="0.3">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c r="AG230" s="5"/>
    </row>
    <row r="231" spans="1:33" ht="15.75" customHeight="1" x14ac:dyDescent="0.3">
      <c r="A231" s="5"/>
      <c r="B231" s="5"/>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c r="AG231" s="5"/>
    </row>
    <row r="232" spans="1:33" ht="15.75" customHeight="1" x14ac:dyDescent="0.3">
      <c r="A232" s="5"/>
      <c r="B232" s="5"/>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c r="AG232" s="5"/>
    </row>
    <row r="233" spans="1:33" ht="15.75" customHeight="1" x14ac:dyDescent="0.3">
      <c r="A233" s="5"/>
      <c r="B233" s="5"/>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c r="AG233" s="5"/>
    </row>
    <row r="234" spans="1:33" ht="15.75" customHeight="1" x14ac:dyDescent="0.3">
      <c r="A234" s="5"/>
      <c r="B234" s="5"/>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c r="AG234" s="5"/>
    </row>
    <row r="235" spans="1:33" ht="15.75" customHeight="1" x14ac:dyDescent="0.3">
      <c r="A235" s="5"/>
      <c r="B235" s="5"/>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c r="AG235" s="5"/>
    </row>
    <row r="236" spans="1:33" ht="15.75" customHeight="1" x14ac:dyDescent="0.3">
      <c r="A236" s="5"/>
      <c r="B236" s="5"/>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c r="AG236" s="5"/>
    </row>
    <row r="237" spans="1:33" ht="15.75" customHeight="1" x14ac:dyDescent="0.3">
      <c r="A237" s="5"/>
      <c r="B237" s="5"/>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c r="AG237" s="5"/>
    </row>
    <row r="238" spans="1:33" ht="15.75" customHeight="1" x14ac:dyDescent="0.3">
      <c r="A238" s="5"/>
      <c r="B238" s="5"/>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c r="AG238" s="5"/>
    </row>
    <row r="239" spans="1:33" ht="15.75" customHeight="1" x14ac:dyDescent="0.3">
      <c r="A239" s="5"/>
      <c r="B239" s="5"/>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c r="AG239" s="5"/>
    </row>
    <row r="240" spans="1:33" ht="15.75" customHeight="1" x14ac:dyDescent="0.3">
      <c r="A240" s="5"/>
      <c r="B240" s="5"/>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c r="AG240" s="5"/>
    </row>
    <row r="241" spans="1:33" ht="15.75" customHeight="1" x14ac:dyDescent="0.3">
      <c r="A241" s="5"/>
      <c r="B241" s="5"/>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c r="AG241" s="5"/>
    </row>
    <row r="242" spans="1:33" ht="15.75" customHeight="1" x14ac:dyDescent="0.3">
      <c r="A242" s="5"/>
      <c r="B242" s="5"/>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c r="AG242" s="5"/>
    </row>
    <row r="243" spans="1:33" ht="15.75" customHeight="1" x14ac:dyDescent="0.3">
      <c r="A243" s="5"/>
      <c r="B243" s="5"/>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c r="AG243" s="5"/>
    </row>
    <row r="244" spans="1:33" ht="15.75" customHeight="1" x14ac:dyDescent="0.3">
      <c r="A244" s="5"/>
      <c r="B244" s="5"/>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c r="AG244" s="5"/>
    </row>
    <row r="245" spans="1:33" ht="15.75" customHeight="1" x14ac:dyDescent="0.3">
      <c r="A245" s="5"/>
      <c r="B245" s="5"/>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c r="AG245" s="5"/>
    </row>
    <row r="246" spans="1:33" ht="15.75" customHeight="1" x14ac:dyDescent="0.3">
      <c r="A246" s="5"/>
      <c r="B246" s="5"/>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c r="AG246" s="5"/>
    </row>
    <row r="247" spans="1:33" ht="15.75" customHeight="1" x14ac:dyDescent="0.3">
      <c r="A247" s="5"/>
      <c r="B247" s="5"/>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c r="AG247" s="5"/>
    </row>
    <row r="248" spans="1:33" ht="15.75" customHeight="1" x14ac:dyDescent="0.3">
      <c r="A248" s="5"/>
      <c r="B248" s="5"/>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c r="AG248" s="5"/>
    </row>
    <row r="249" spans="1:33" ht="15.75" customHeight="1" x14ac:dyDescent="0.3">
      <c r="A249" s="5"/>
      <c r="B249" s="5"/>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c r="AG249" s="5"/>
    </row>
    <row r="250" spans="1:33" ht="15.75" customHeight="1" x14ac:dyDescent="0.3">
      <c r="A250" s="5"/>
      <c r="B250" s="5"/>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c r="AG250" s="5"/>
    </row>
    <row r="251" spans="1:33" ht="15.75" customHeight="1" x14ac:dyDescent="0.3">
      <c r="A251" s="5"/>
      <c r="B251" s="5"/>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c r="AG251" s="5"/>
    </row>
    <row r="252" spans="1:33" ht="15.75" customHeight="1" x14ac:dyDescent="0.3">
      <c r="A252" s="5"/>
      <c r="B252" s="5"/>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c r="AG252" s="5"/>
    </row>
    <row r="253" spans="1:33" ht="15.75" customHeight="1" x14ac:dyDescent="0.3">
      <c r="A253" s="5"/>
      <c r="B253" s="5"/>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c r="AG253" s="5"/>
    </row>
    <row r="254" spans="1:33" ht="15.75" customHeight="1" x14ac:dyDescent="0.3">
      <c r="A254" s="5"/>
      <c r="B254" s="5"/>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c r="AG254" s="5"/>
    </row>
    <row r="255" spans="1:33" ht="15.75" customHeight="1" x14ac:dyDescent="0.3">
      <c r="A255" s="5"/>
      <c r="B255" s="5"/>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c r="AG255" s="5"/>
    </row>
    <row r="256" spans="1:33" ht="15.75" customHeight="1" x14ac:dyDescent="0.3">
      <c r="A256" s="5"/>
      <c r="B256" s="5"/>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c r="AG256" s="5"/>
    </row>
    <row r="257" spans="1:33" ht="15.75" customHeight="1" x14ac:dyDescent="0.3">
      <c r="A257" s="5"/>
      <c r="B257" s="5"/>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c r="AG257" s="5"/>
    </row>
    <row r="258" spans="1:33" ht="15.75" customHeight="1" x14ac:dyDescent="0.3">
      <c r="A258" s="5"/>
      <c r="B258" s="5"/>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c r="AG258" s="5"/>
    </row>
    <row r="259" spans="1:33" ht="15.75" customHeight="1" x14ac:dyDescent="0.3">
      <c r="A259" s="5"/>
      <c r="B259" s="5"/>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c r="AG259" s="5"/>
    </row>
    <row r="260" spans="1:33" ht="15.75" customHeight="1" x14ac:dyDescent="0.3">
      <c r="A260" s="5"/>
      <c r="B260" s="5"/>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c r="AG260" s="5"/>
    </row>
    <row r="261" spans="1:33" ht="15.75" customHeight="1" x14ac:dyDescent="0.3">
      <c r="A261" s="5"/>
      <c r="B261" s="5"/>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c r="AG261" s="5"/>
    </row>
    <row r="262" spans="1:33" ht="15.75" customHeight="1" x14ac:dyDescent="0.3">
      <c r="A262" s="5"/>
      <c r="B262" s="5"/>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c r="AG262" s="5"/>
    </row>
    <row r="263" spans="1:33" ht="15.75" customHeight="1" x14ac:dyDescent="0.3">
      <c r="A263" s="5"/>
      <c r="B263" s="5"/>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c r="AG263" s="5"/>
    </row>
    <row r="264" spans="1:33" ht="15.75" customHeight="1" x14ac:dyDescent="0.3">
      <c r="A264" s="5"/>
      <c r="B264" s="5"/>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c r="AG264" s="5"/>
    </row>
    <row r="265" spans="1:33" ht="15.75" customHeight="1" x14ac:dyDescent="0.3">
      <c r="A265" s="5"/>
      <c r="B265" s="5"/>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c r="AG265" s="5"/>
    </row>
    <row r="266" spans="1:33" ht="15.75" customHeight="1" x14ac:dyDescent="0.3">
      <c r="A266" s="5"/>
      <c r="B266" s="5"/>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c r="AG266" s="5"/>
    </row>
    <row r="267" spans="1:33" ht="15.75" customHeight="1" x14ac:dyDescent="0.3">
      <c r="A267" s="5"/>
      <c r="B267" s="5"/>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c r="AG267" s="5"/>
    </row>
    <row r="268" spans="1:33" ht="15.75" customHeight="1" x14ac:dyDescent="0.3">
      <c r="A268" s="5"/>
      <c r="B268" s="5"/>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c r="AG268" s="5"/>
    </row>
    <row r="269" spans="1:33" ht="15.75" customHeight="1" x14ac:dyDescent="0.3">
      <c r="A269" s="5"/>
      <c r="B269" s="5"/>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c r="AG269" s="5"/>
    </row>
    <row r="270" spans="1:33" ht="15.75" customHeight="1" x14ac:dyDescent="0.3">
      <c r="A270" s="5"/>
      <c r="B270" s="5"/>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c r="AG270" s="5"/>
    </row>
    <row r="271" spans="1:33" ht="15.75" customHeight="1" x14ac:dyDescent="0.3">
      <c r="A271" s="5"/>
      <c r="B271" s="5"/>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c r="AG271" s="5"/>
    </row>
    <row r="272" spans="1:33" ht="15.75" customHeight="1" x14ac:dyDescent="0.3">
      <c r="A272" s="5"/>
      <c r="B272" s="5"/>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c r="AG272" s="5"/>
    </row>
    <row r="273" spans="1:33" ht="15.75" customHeight="1" x14ac:dyDescent="0.3">
      <c r="A273" s="5"/>
      <c r="B273" s="5"/>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c r="AG273" s="5"/>
    </row>
    <row r="274" spans="1:33" ht="15.75" customHeight="1" x14ac:dyDescent="0.3">
      <c r="A274" s="5"/>
      <c r="B274" s="5"/>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c r="AG274" s="5"/>
    </row>
    <row r="275" spans="1:33" ht="15.75" customHeight="1" x14ac:dyDescent="0.3">
      <c r="A275" s="5"/>
      <c r="B275" s="5"/>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c r="AG275" s="5"/>
    </row>
    <row r="276" spans="1:33" ht="15.75" customHeight="1" x14ac:dyDescent="0.3">
      <c r="A276" s="5"/>
      <c r="B276" s="5"/>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c r="AG276" s="5"/>
    </row>
    <row r="277" spans="1:33" ht="15.75" customHeight="1" x14ac:dyDescent="0.3">
      <c r="A277" s="5"/>
      <c r="B277" s="5"/>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c r="AG277" s="5"/>
    </row>
    <row r="278" spans="1:33" ht="15.75" customHeight="1" x14ac:dyDescent="0.3">
      <c r="A278" s="5"/>
      <c r="B278" s="5"/>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c r="AG278" s="5"/>
    </row>
    <row r="279" spans="1:33" ht="15.75" customHeight="1" x14ac:dyDescent="0.3">
      <c r="A279" s="5"/>
      <c r="B279" s="5"/>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c r="AG279" s="5"/>
    </row>
    <row r="280" spans="1:33" ht="15.75" customHeight="1" x14ac:dyDescent="0.3">
      <c r="A280" s="5"/>
      <c r="B280" s="5"/>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c r="AG280" s="5"/>
    </row>
    <row r="281" spans="1:33" ht="15.75" customHeight="1" x14ac:dyDescent="0.3">
      <c r="A281" s="5"/>
      <c r="B281" s="5"/>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c r="AG281" s="5"/>
    </row>
    <row r="282" spans="1:33" ht="15.75" customHeight="1" x14ac:dyDescent="0.3">
      <c r="A282" s="5"/>
      <c r="B282" s="5"/>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c r="AG282" s="5"/>
    </row>
    <row r="283" spans="1:33" ht="15.75" customHeight="1" x14ac:dyDescent="0.3">
      <c r="A283" s="5"/>
      <c r="B283" s="5"/>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c r="AG283" s="5"/>
    </row>
    <row r="284" spans="1:33" ht="15.75" customHeight="1" x14ac:dyDescent="0.3">
      <c r="A284" s="5"/>
      <c r="B284" s="5"/>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c r="AG284" s="5"/>
    </row>
    <row r="285" spans="1:33" ht="15.75" customHeight="1" x14ac:dyDescent="0.3">
      <c r="A285" s="5"/>
      <c r="B285" s="5"/>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c r="AG285" s="5"/>
    </row>
    <row r="286" spans="1:33" ht="15.75" customHeight="1" x14ac:dyDescent="0.3">
      <c r="A286" s="5"/>
      <c r="B286" s="5"/>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c r="AG286" s="5"/>
    </row>
    <row r="287" spans="1:33" ht="15.75" customHeight="1" x14ac:dyDescent="0.3">
      <c r="A287" s="5"/>
      <c r="B287" s="5"/>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c r="AG287" s="5"/>
    </row>
    <row r="288" spans="1:33" ht="15.75" customHeight="1" x14ac:dyDescent="0.3">
      <c r="A288" s="5"/>
      <c r="B288" s="5"/>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c r="AG288" s="5"/>
    </row>
    <row r="289" spans="1:33" ht="15.75" customHeight="1" x14ac:dyDescent="0.3">
      <c r="A289" s="5"/>
      <c r="B289" s="5"/>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c r="AG289" s="5"/>
    </row>
    <row r="290" spans="1:33" ht="15.75" customHeight="1" x14ac:dyDescent="0.3">
      <c r="A290" s="5"/>
      <c r="B290" s="5"/>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c r="AG290" s="5"/>
    </row>
    <row r="291" spans="1:33" ht="15.75" customHeight="1" x14ac:dyDescent="0.3">
      <c r="A291" s="5"/>
      <c r="B291" s="5"/>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c r="AG291" s="5"/>
    </row>
    <row r="292" spans="1:33" ht="15.75" customHeight="1" x14ac:dyDescent="0.3">
      <c r="A292" s="5"/>
      <c r="B292" s="5"/>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c r="AG292" s="5"/>
    </row>
    <row r="293" spans="1:33" ht="15.75" customHeight="1" x14ac:dyDescent="0.3">
      <c r="A293" s="5"/>
      <c r="B293" s="5"/>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c r="AG293" s="5"/>
    </row>
    <row r="294" spans="1:33" ht="15.75" customHeight="1" x14ac:dyDescent="0.3">
      <c r="A294" s="5"/>
      <c r="B294" s="5"/>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c r="AG294" s="5"/>
    </row>
    <row r="295" spans="1:33" ht="15.75" customHeight="1" x14ac:dyDescent="0.3">
      <c r="A295" s="5"/>
      <c r="B295" s="5"/>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c r="AG295" s="5"/>
    </row>
    <row r="296" spans="1:33" ht="15.75" customHeight="1" x14ac:dyDescent="0.3">
      <c r="A296" s="5"/>
      <c r="B296" s="5"/>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c r="AG296" s="5"/>
    </row>
    <row r="297" spans="1:33" ht="15.75" customHeight="1" x14ac:dyDescent="0.3">
      <c r="A297" s="5"/>
      <c r="B297" s="5"/>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c r="AG297" s="5"/>
    </row>
    <row r="298" spans="1:33" ht="15.75" customHeight="1" x14ac:dyDescent="0.3">
      <c r="A298" s="5"/>
      <c r="B298" s="5"/>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c r="AG298" s="5"/>
    </row>
    <row r="299" spans="1:33" ht="15.75" customHeight="1" x14ac:dyDescent="0.3">
      <c r="A299" s="5"/>
      <c r="B299" s="5"/>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c r="AG299" s="5"/>
    </row>
    <row r="300" spans="1:33" ht="15.75" customHeight="1" x14ac:dyDescent="0.3">
      <c r="A300" s="5"/>
      <c r="B300" s="5"/>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c r="AG300" s="5"/>
    </row>
    <row r="301" spans="1:33" ht="15.75" customHeight="1" x14ac:dyDescent="0.3">
      <c r="A301" s="5"/>
      <c r="B301" s="5"/>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c r="AG301" s="5"/>
    </row>
    <row r="302" spans="1:33" ht="15.75" customHeight="1" x14ac:dyDescent="0.3">
      <c r="A302" s="5"/>
      <c r="B302" s="5"/>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c r="AG302" s="5"/>
    </row>
    <row r="303" spans="1:33" ht="15.75" customHeight="1" x14ac:dyDescent="0.3">
      <c r="A303" s="5"/>
      <c r="B303" s="5"/>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c r="AG303" s="5"/>
    </row>
    <row r="304" spans="1:33" ht="15.75" customHeight="1" x14ac:dyDescent="0.3">
      <c r="A304" s="5"/>
      <c r="B304" s="5"/>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c r="AG304" s="5"/>
    </row>
    <row r="305" spans="1:33" ht="15.75" customHeight="1" x14ac:dyDescent="0.3">
      <c r="A305" s="5"/>
      <c r="B305" s="5"/>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c r="AG305" s="5"/>
    </row>
    <row r="306" spans="1:33" ht="15.75" customHeight="1" x14ac:dyDescent="0.3">
      <c r="A306" s="5"/>
      <c r="B306" s="5"/>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c r="AG306" s="5"/>
    </row>
    <row r="307" spans="1:33" ht="15.75" customHeight="1" x14ac:dyDescent="0.3">
      <c r="A307" s="5"/>
      <c r="B307" s="5"/>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c r="AG307" s="5"/>
    </row>
    <row r="308" spans="1:33" ht="15.75" customHeight="1" x14ac:dyDescent="0.3">
      <c r="A308" s="5"/>
      <c r="B308" s="5"/>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c r="AG308" s="5"/>
    </row>
    <row r="309" spans="1:33" ht="15.75" customHeight="1" x14ac:dyDescent="0.3">
      <c r="A309" s="5"/>
      <c r="B309" s="5"/>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c r="AG309" s="5"/>
    </row>
    <row r="310" spans="1:33" ht="15.75" customHeight="1" x14ac:dyDescent="0.3">
      <c r="A310" s="5"/>
      <c r="B310" s="5"/>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c r="AG310" s="5"/>
    </row>
    <row r="311" spans="1:33" ht="15.75" customHeight="1" x14ac:dyDescent="0.3">
      <c r="A311" s="5"/>
      <c r="B311" s="5"/>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c r="AG311" s="5"/>
    </row>
    <row r="312" spans="1:33" ht="15.75" customHeight="1" x14ac:dyDescent="0.3">
      <c r="A312" s="5"/>
      <c r="B312" s="5"/>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c r="AG312" s="5"/>
    </row>
    <row r="313" spans="1:33" ht="15.75" customHeight="1" x14ac:dyDescent="0.3">
      <c r="A313" s="5"/>
      <c r="B313" s="5"/>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c r="AG313" s="5"/>
    </row>
    <row r="314" spans="1:33" ht="15.75" customHeight="1" x14ac:dyDescent="0.3">
      <c r="A314" s="5"/>
      <c r="B314" s="5"/>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c r="AG314" s="5"/>
    </row>
    <row r="315" spans="1:33" ht="15.75" customHeight="1" x14ac:dyDescent="0.3">
      <c r="A315" s="5"/>
      <c r="B315" s="5"/>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c r="AG315" s="5"/>
    </row>
    <row r="316" spans="1:33" ht="15.75" customHeight="1" x14ac:dyDescent="0.3">
      <c r="A316" s="5"/>
      <c r="B316" s="5"/>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c r="AG316" s="5"/>
    </row>
    <row r="317" spans="1:33" ht="15.75" customHeight="1" x14ac:dyDescent="0.3">
      <c r="A317" s="5"/>
      <c r="B317" s="5"/>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c r="AG317" s="5"/>
    </row>
    <row r="318" spans="1:33" ht="15.75" customHeight="1" x14ac:dyDescent="0.3">
      <c r="A318" s="5"/>
      <c r="B318" s="5"/>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c r="AG318" s="5"/>
    </row>
    <row r="319" spans="1:33" ht="15.75" customHeight="1" x14ac:dyDescent="0.3">
      <c r="A319" s="5"/>
      <c r="B319" s="5"/>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c r="AG319" s="5"/>
    </row>
    <row r="320" spans="1:33" ht="15.75" customHeight="1" x14ac:dyDescent="0.3">
      <c r="A320" s="5"/>
      <c r="B320" s="5"/>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c r="AG320" s="5"/>
    </row>
    <row r="321" spans="1:33" ht="15.75" customHeight="1" x14ac:dyDescent="0.3">
      <c r="A321" s="5"/>
      <c r="B321" s="5"/>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c r="AG321" s="5"/>
    </row>
    <row r="322" spans="1:33" ht="15.75" customHeight="1" x14ac:dyDescent="0.3">
      <c r="A322" s="5"/>
      <c r="B322" s="5"/>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c r="AG322" s="5"/>
    </row>
    <row r="323" spans="1:33" ht="15.75" customHeight="1" x14ac:dyDescent="0.3">
      <c r="A323" s="5"/>
      <c r="B323" s="5"/>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c r="AG323" s="5"/>
    </row>
    <row r="324" spans="1:33" ht="15.75" customHeight="1" x14ac:dyDescent="0.3">
      <c r="A324" s="5"/>
      <c r="B324" s="5"/>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c r="AG324" s="5"/>
    </row>
    <row r="325" spans="1:33" ht="15.75" customHeight="1" x14ac:dyDescent="0.3">
      <c r="A325" s="5"/>
      <c r="B325" s="5"/>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c r="AG325" s="5"/>
    </row>
    <row r="326" spans="1:33" ht="15.75" customHeight="1" x14ac:dyDescent="0.3">
      <c r="A326" s="5"/>
      <c r="B326" s="5"/>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c r="AG326" s="5"/>
    </row>
    <row r="327" spans="1:33" ht="15.75" customHeight="1" x14ac:dyDescent="0.3">
      <c r="A327" s="5"/>
      <c r="B327" s="5"/>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c r="AG327" s="5"/>
    </row>
    <row r="328" spans="1:33" ht="15.75" customHeight="1" x14ac:dyDescent="0.3">
      <c r="A328" s="5"/>
      <c r="B328" s="5"/>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c r="AG328" s="5"/>
    </row>
    <row r="329" spans="1:33" ht="15.75" customHeight="1" x14ac:dyDescent="0.3">
      <c r="A329" s="5"/>
      <c r="B329" s="5"/>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c r="AG329" s="5"/>
    </row>
    <row r="330" spans="1:33" ht="15.75" customHeight="1" x14ac:dyDescent="0.3">
      <c r="A330" s="5"/>
      <c r="B330" s="5"/>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c r="AG330" s="5"/>
    </row>
    <row r="331" spans="1:33" ht="15.75" customHeight="1" x14ac:dyDescent="0.3">
      <c r="A331" s="5"/>
      <c r="B331" s="5"/>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c r="AG331" s="5"/>
    </row>
    <row r="332" spans="1:33" ht="15.75" customHeight="1" x14ac:dyDescent="0.3">
      <c r="A332" s="5"/>
      <c r="B332" s="5"/>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c r="AG332" s="5"/>
    </row>
    <row r="333" spans="1:33" ht="15.75" customHeight="1" x14ac:dyDescent="0.3">
      <c r="A333" s="5"/>
      <c r="B333" s="5"/>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c r="AG333" s="5"/>
    </row>
    <row r="334" spans="1:33" ht="15.75" customHeight="1" x14ac:dyDescent="0.3">
      <c r="A334" s="5"/>
      <c r="B334" s="5"/>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c r="AG334" s="5"/>
    </row>
    <row r="335" spans="1:33" ht="15.75" customHeight="1" x14ac:dyDescent="0.3">
      <c r="A335" s="5"/>
      <c r="B335" s="5"/>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c r="AG335" s="5"/>
    </row>
    <row r="336" spans="1:33" ht="15.75" customHeight="1" x14ac:dyDescent="0.3">
      <c r="A336" s="5"/>
      <c r="B336" s="5"/>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c r="AG336" s="5"/>
    </row>
    <row r="337" spans="1:33" ht="15.75" customHeight="1" x14ac:dyDescent="0.3">
      <c r="A337" s="5"/>
      <c r="B337" s="5"/>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c r="AG337" s="5"/>
    </row>
    <row r="338" spans="1:33" ht="15.75" customHeight="1" x14ac:dyDescent="0.3">
      <c r="A338" s="5"/>
      <c r="B338" s="5"/>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c r="AG338" s="5"/>
    </row>
    <row r="339" spans="1:33" ht="15.75" customHeight="1" x14ac:dyDescent="0.3">
      <c r="A339" s="5"/>
      <c r="B339" s="5"/>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c r="AG339" s="5"/>
    </row>
    <row r="340" spans="1:33" ht="15.75" customHeight="1" x14ac:dyDescent="0.3">
      <c r="A340" s="5"/>
      <c r="B340" s="5"/>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c r="AG340" s="5"/>
    </row>
    <row r="341" spans="1:33" ht="15.75" customHeight="1" x14ac:dyDescent="0.3">
      <c r="A341" s="5"/>
      <c r="B341" s="5"/>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c r="AG341" s="5"/>
    </row>
    <row r="342" spans="1:33" ht="15.75" customHeight="1" x14ac:dyDescent="0.3">
      <c r="A342" s="5"/>
      <c r="B342" s="5"/>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c r="AG342" s="5"/>
    </row>
    <row r="343" spans="1:33" ht="15.75" customHeight="1" x14ac:dyDescent="0.3">
      <c r="A343" s="5"/>
      <c r="B343" s="5"/>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c r="AG343" s="5"/>
    </row>
    <row r="344" spans="1:33" ht="15.75" customHeight="1" x14ac:dyDescent="0.3">
      <c r="A344" s="5"/>
      <c r="B344" s="5"/>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c r="AG344" s="5"/>
    </row>
    <row r="345" spans="1:33" ht="15.75" customHeight="1" x14ac:dyDescent="0.3">
      <c r="A345" s="5"/>
      <c r="B345" s="5"/>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c r="AG345" s="5"/>
    </row>
    <row r="346" spans="1:33" ht="15.75" customHeight="1" x14ac:dyDescent="0.3">
      <c r="A346" s="5"/>
      <c r="B346" s="5"/>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c r="AG346" s="5"/>
    </row>
    <row r="347" spans="1:33" ht="15.75" customHeight="1" x14ac:dyDescent="0.3">
      <c r="A347" s="5"/>
      <c r="B347" s="5"/>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c r="AG347" s="5"/>
    </row>
    <row r="348" spans="1:33" ht="15.75" customHeight="1" x14ac:dyDescent="0.3">
      <c r="A348" s="5"/>
      <c r="B348" s="5"/>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c r="AG348" s="5"/>
    </row>
    <row r="349" spans="1:33" ht="15.75" customHeight="1" x14ac:dyDescent="0.3">
      <c r="A349" s="5"/>
      <c r="B349" s="5"/>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c r="AG349" s="5"/>
    </row>
    <row r="350" spans="1:33" ht="15.75" customHeight="1" x14ac:dyDescent="0.3">
      <c r="A350" s="5"/>
      <c r="B350" s="5"/>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c r="AG350" s="5"/>
    </row>
    <row r="351" spans="1:33" ht="15.75" customHeight="1" x14ac:dyDescent="0.3">
      <c r="A351" s="5"/>
      <c r="B351" s="5"/>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c r="AG351" s="5"/>
    </row>
    <row r="352" spans="1:33" ht="15.75" customHeight="1" x14ac:dyDescent="0.3">
      <c r="A352" s="5"/>
      <c r="B352" s="5"/>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c r="AG352" s="5"/>
    </row>
    <row r="353" spans="1:33" ht="15.75" customHeight="1" x14ac:dyDescent="0.3">
      <c r="A353" s="5"/>
      <c r="B353" s="5"/>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c r="AG353" s="5"/>
    </row>
    <row r="354" spans="1:33" ht="15.75" customHeight="1" x14ac:dyDescent="0.3">
      <c r="A354" s="5"/>
      <c r="B354" s="5"/>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c r="AG354" s="5"/>
    </row>
    <row r="355" spans="1:33" ht="15.75" customHeight="1" x14ac:dyDescent="0.3">
      <c r="A355" s="5"/>
      <c r="B355" s="5"/>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c r="AG355" s="5"/>
    </row>
    <row r="356" spans="1:33" ht="15.75" customHeight="1" x14ac:dyDescent="0.3">
      <c r="A356" s="5"/>
      <c r="B356" s="5"/>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c r="AG356" s="5"/>
    </row>
    <row r="357" spans="1:33" ht="15.75" customHeight="1" x14ac:dyDescent="0.3">
      <c r="A357" s="5"/>
      <c r="B357" s="5"/>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c r="AG357" s="5"/>
    </row>
    <row r="358" spans="1:33" ht="15.75" customHeight="1" x14ac:dyDescent="0.3">
      <c r="A358" s="5"/>
      <c r="B358" s="5"/>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c r="AG358" s="5"/>
    </row>
    <row r="359" spans="1:33" ht="15.75" customHeight="1" x14ac:dyDescent="0.3">
      <c r="A359" s="5"/>
      <c r="B359" s="5"/>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c r="AG359" s="5"/>
    </row>
    <row r="360" spans="1:33" ht="15.75" customHeight="1" x14ac:dyDescent="0.3">
      <c r="A360" s="5"/>
      <c r="B360" s="5"/>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c r="AG360" s="5"/>
    </row>
    <row r="361" spans="1:33" ht="15.75" customHeight="1" x14ac:dyDescent="0.3">
      <c r="A361" s="5"/>
      <c r="B361" s="5"/>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c r="AG361" s="5"/>
    </row>
    <row r="362" spans="1:33" ht="15.75" customHeight="1" x14ac:dyDescent="0.3">
      <c r="A362" s="5"/>
      <c r="B362" s="5"/>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c r="AG362" s="5"/>
    </row>
    <row r="363" spans="1:33" ht="15.75" customHeight="1" x14ac:dyDescent="0.3">
      <c r="A363" s="5"/>
      <c r="B363" s="5"/>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c r="AG363" s="5"/>
    </row>
    <row r="364" spans="1:33" ht="15.75" customHeight="1" x14ac:dyDescent="0.3">
      <c r="A364" s="5"/>
      <c r="B364" s="5"/>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c r="AG364" s="5"/>
    </row>
    <row r="365" spans="1:33" ht="15.75" customHeight="1" x14ac:dyDescent="0.3">
      <c r="A365" s="5"/>
      <c r="B365" s="5"/>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c r="AG365" s="5"/>
    </row>
    <row r="366" spans="1:33" ht="15.75" customHeight="1" x14ac:dyDescent="0.3">
      <c r="A366" s="5"/>
      <c r="B366" s="5"/>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c r="AG366" s="5"/>
    </row>
    <row r="367" spans="1:33" ht="15.75" customHeight="1" x14ac:dyDescent="0.3">
      <c r="A367" s="5"/>
      <c r="B367" s="5"/>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c r="AG367" s="5"/>
    </row>
    <row r="368" spans="1:33" ht="15.75" customHeight="1" x14ac:dyDescent="0.3">
      <c r="A368" s="5"/>
      <c r="B368" s="5"/>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c r="AG368" s="5"/>
    </row>
    <row r="369" spans="1:33" ht="15.75" customHeight="1" x14ac:dyDescent="0.3">
      <c r="A369" s="5"/>
      <c r="B369" s="5"/>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c r="AG369" s="5"/>
    </row>
    <row r="370" spans="1:33" ht="15.75" customHeight="1" x14ac:dyDescent="0.3">
      <c r="A370" s="5"/>
      <c r="B370" s="5"/>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c r="AG370" s="5"/>
    </row>
    <row r="371" spans="1:33" ht="15.75" customHeight="1" x14ac:dyDescent="0.3">
      <c r="A371" s="5"/>
      <c r="B371" s="5"/>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c r="AG371" s="5"/>
    </row>
    <row r="372" spans="1:33" ht="15.75" customHeight="1" x14ac:dyDescent="0.3">
      <c r="A372" s="5"/>
      <c r="B372" s="5"/>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c r="AG372" s="5"/>
    </row>
    <row r="373" spans="1:33" ht="15.75" customHeight="1" x14ac:dyDescent="0.3">
      <c r="A373" s="5"/>
      <c r="B373" s="5"/>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c r="AG373" s="5"/>
    </row>
    <row r="374" spans="1:33" ht="15.75" customHeight="1" x14ac:dyDescent="0.3">
      <c r="A374" s="5"/>
      <c r="B374" s="5"/>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c r="AG374" s="5"/>
    </row>
    <row r="375" spans="1:33" ht="15.75" customHeight="1" x14ac:dyDescent="0.3">
      <c r="A375" s="5"/>
      <c r="B375" s="5"/>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c r="AG375" s="5"/>
    </row>
    <row r="376" spans="1:33" ht="15.75" customHeight="1" x14ac:dyDescent="0.3">
      <c r="A376" s="5"/>
      <c r="B376" s="5"/>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c r="AG376" s="5"/>
    </row>
    <row r="377" spans="1:33" ht="15.75" customHeight="1" x14ac:dyDescent="0.3">
      <c r="A377" s="5"/>
      <c r="B377" s="5"/>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c r="AG377" s="5"/>
    </row>
    <row r="378" spans="1:33" ht="15.75" customHeight="1" x14ac:dyDescent="0.3">
      <c r="A378" s="5"/>
      <c r="B378" s="5"/>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c r="AG378" s="5"/>
    </row>
    <row r="379" spans="1:33" ht="15.75" customHeight="1" x14ac:dyDescent="0.3">
      <c r="A379" s="5"/>
      <c r="B379" s="5"/>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c r="AG379" s="5"/>
    </row>
    <row r="380" spans="1:33" ht="15.75" customHeight="1" x14ac:dyDescent="0.3">
      <c r="A380" s="5"/>
      <c r="B380" s="5"/>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c r="AG380" s="5"/>
    </row>
    <row r="381" spans="1:33" ht="15.75" customHeight="1" x14ac:dyDescent="0.3">
      <c r="A381" s="5"/>
      <c r="B381" s="5"/>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c r="AG381" s="5"/>
    </row>
    <row r="382" spans="1:33" ht="15.75" customHeight="1" x14ac:dyDescent="0.3">
      <c r="A382" s="5"/>
      <c r="B382" s="5"/>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c r="AG382" s="5"/>
    </row>
    <row r="383" spans="1:33" ht="15.75" customHeight="1" x14ac:dyDescent="0.3">
      <c r="A383" s="5"/>
      <c r="B383" s="5"/>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c r="AG383" s="5"/>
    </row>
    <row r="384" spans="1:33" ht="15.75" customHeight="1" x14ac:dyDescent="0.3">
      <c r="A384" s="5"/>
      <c r="B384" s="5"/>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c r="AG384" s="5"/>
    </row>
    <row r="385" spans="1:33" ht="15.75" customHeight="1" x14ac:dyDescent="0.3">
      <c r="A385" s="5"/>
      <c r="B385" s="5"/>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c r="AG385" s="5"/>
    </row>
    <row r="386" spans="1:33" ht="15.75" customHeight="1" x14ac:dyDescent="0.3">
      <c r="A386" s="5"/>
      <c r="B386" s="5"/>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c r="AG386" s="5"/>
    </row>
    <row r="387" spans="1:33" ht="15.75" customHeight="1" x14ac:dyDescent="0.3">
      <c r="A387" s="5"/>
      <c r="B387" s="5"/>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c r="AG387" s="5"/>
    </row>
    <row r="388" spans="1:33" ht="15.75" customHeight="1" x14ac:dyDescent="0.3">
      <c r="A388" s="5"/>
      <c r="B388" s="5"/>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c r="AG388" s="5"/>
    </row>
    <row r="389" spans="1:33" ht="15.75" customHeight="1" x14ac:dyDescent="0.3">
      <c r="A389" s="5"/>
      <c r="B389" s="5"/>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c r="AG389" s="5"/>
    </row>
    <row r="390" spans="1:33" ht="15.75" customHeight="1" x14ac:dyDescent="0.3">
      <c r="A390" s="5"/>
      <c r="B390" s="5"/>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c r="AG390" s="5"/>
    </row>
    <row r="391" spans="1:33" ht="15.75" customHeight="1" x14ac:dyDescent="0.3">
      <c r="A391" s="5"/>
      <c r="B391" s="5"/>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c r="AG391" s="5"/>
    </row>
    <row r="392" spans="1:33" ht="15.75" customHeight="1" x14ac:dyDescent="0.3">
      <c r="A392" s="5"/>
      <c r="B392" s="5"/>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c r="AG392" s="5"/>
    </row>
    <row r="393" spans="1:33" ht="15.75" customHeight="1" x14ac:dyDescent="0.3">
      <c r="A393" s="5"/>
      <c r="B393" s="5"/>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c r="AG393" s="5"/>
    </row>
    <row r="394" spans="1:33" ht="15.75" customHeight="1" x14ac:dyDescent="0.3">
      <c r="A394" s="5"/>
      <c r="B394" s="5"/>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c r="AG394" s="5"/>
    </row>
    <row r="395" spans="1:33" ht="15.75" customHeight="1" x14ac:dyDescent="0.3">
      <c r="A395" s="5"/>
      <c r="B395" s="5"/>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c r="AG395" s="5"/>
    </row>
    <row r="396" spans="1:33" ht="15.75" customHeight="1" x14ac:dyDescent="0.3">
      <c r="A396" s="5"/>
      <c r="B396" s="5"/>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c r="AG396" s="5"/>
    </row>
    <row r="397" spans="1:33" ht="15.75" customHeight="1" x14ac:dyDescent="0.3">
      <c r="A397" s="5"/>
      <c r="B397" s="5"/>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c r="AG397" s="5"/>
    </row>
    <row r="398" spans="1:33" ht="15.75" customHeight="1" x14ac:dyDescent="0.3">
      <c r="A398" s="5"/>
      <c r="B398" s="5"/>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c r="AG398" s="5"/>
    </row>
    <row r="399" spans="1:33" ht="15.75" customHeight="1" x14ac:dyDescent="0.3">
      <c r="A399" s="5"/>
      <c r="B399" s="5"/>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c r="AG399" s="5"/>
    </row>
    <row r="400" spans="1:33" ht="15.75" customHeight="1" x14ac:dyDescent="0.3">
      <c r="A400" s="5"/>
      <c r="B400" s="5"/>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c r="AG400" s="5"/>
    </row>
    <row r="401" spans="1:33" ht="15.75" customHeight="1" x14ac:dyDescent="0.3">
      <c r="A401" s="5"/>
      <c r="B401" s="5"/>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c r="AG401" s="5"/>
    </row>
    <row r="402" spans="1:33" ht="15.75" customHeight="1" x14ac:dyDescent="0.3">
      <c r="A402" s="5"/>
      <c r="B402" s="5"/>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c r="AG402" s="5"/>
    </row>
    <row r="403" spans="1:33" ht="15.75" customHeight="1" x14ac:dyDescent="0.3">
      <c r="A403" s="5"/>
      <c r="B403" s="5"/>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c r="AG403" s="5"/>
    </row>
    <row r="404" spans="1:33" ht="15.75" customHeight="1" x14ac:dyDescent="0.3">
      <c r="A404" s="5"/>
      <c r="B404" s="5"/>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c r="AG404" s="5"/>
    </row>
    <row r="405" spans="1:33" ht="15.75" customHeight="1" x14ac:dyDescent="0.3">
      <c r="A405" s="5"/>
      <c r="B405" s="5"/>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c r="AG405" s="5"/>
    </row>
    <row r="406" spans="1:33" ht="15.75" customHeight="1" x14ac:dyDescent="0.3">
      <c r="A406" s="5"/>
      <c r="B406" s="5"/>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c r="AG406" s="5"/>
    </row>
    <row r="407" spans="1:33" ht="15.75" customHeight="1" x14ac:dyDescent="0.3">
      <c r="A407" s="5"/>
      <c r="B407" s="5"/>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c r="AG407" s="5"/>
    </row>
    <row r="408" spans="1:33" ht="15.75" customHeight="1" x14ac:dyDescent="0.3">
      <c r="A408" s="5"/>
      <c r="B408" s="5"/>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c r="AG408" s="5"/>
    </row>
    <row r="409" spans="1:33" ht="15.75" customHeight="1" x14ac:dyDescent="0.3">
      <c r="A409" s="5"/>
      <c r="B409" s="5"/>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c r="AG409" s="5"/>
    </row>
    <row r="410" spans="1:33" ht="15.75" customHeight="1" x14ac:dyDescent="0.3">
      <c r="A410" s="5"/>
      <c r="B410" s="5"/>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c r="AG410" s="5"/>
    </row>
    <row r="411" spans="1:33" ht="15.75" customHeight="1" x14ac:dyDescent="0.3">
      <c r="A411" s="5"/>
      <c r="B411" s="5"/>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c r="AG411" s="5"/>
    </row>
    <row r="412" spans="1:33" ht="15.75" customHeight="1" x14ac:dyDescent="0.3">
      <c r="A412" s="5"/>
      <c r="B412" s="5"/>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c r="AG412" s="5"/>
    </row>
    <row r="413" spans="1:33" ht="15.75" customHeight="1" x14ac:dyDescent="0.3">
      <c r="A413" s="5"/>
      <c r="B413" s="5"/>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c r="AG413" s="5"/>
    </row>
    <row r="414" spans="1:33" ht="15.75" customHeight="1" x14ac:dyDescent="0.3">
      <c r="A414" s="5"/>
      <c r="B414" s="5"/>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c r="AG414" s="5"/>
    </row>
    <row r="415" spans="1:33" ht="15.75" customHeight="1" x14ac:dyDescent="0.3">
      <c r="A415" s="5"/>
      <c r="B415" s="5"/>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c r="AG415" s="5"/>
    </row>
    <row r="416" spans="1:33" ht="15.75" customHeight="1" x14ac:dyDescent="0.3">
      <c r="A416" s="5"/>
      <c r="B416" s="5"/>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c r="AG416" s="5"/>
    </row>
    <row r="417" spans="1:33" ht="15.75" customHeight="1" x14ac:dyDescent="0.3">
      <c r="A417" s="5"/>
      <c r="B417" s="5"/>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c r="AG417" s="5"/>
    </row>
    <row r="418" spans="1:33" ht="15.75" customHeight="1" x14ac:dyDescent="0.3">
      <c r="A418" s="5"/>
      <c r="B418" s="5"/>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c r="AG418" s="5"/>
    </row>
    <row r="419" spans="1:33" ht="15.75" customHeight="1" x14ac:dyDescent="0.3">
      <c r="A419" s="5"/>
      <c r="B419" s="5"/>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c r="AG419" s="5"/>
    </row>
    <row r="420" spans="1:33" ht="15.75" customHeight="1" x14ac:dyDescent="0.3">
      <c r="A420" s="5"/>
      <c r="B420" s="5"/>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c r="AG420" s="5"/>
    </row>
    <row r="421" spans="1:33" ht="15.75" customHeight="1" x14ac:dyDescent="0.3">
      <c r="A421" s="5"/>
      <c r="B421" s="5"/>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c r="AG421" s="5"/>
    </row>
    <row r="422" spans="1:33" ht="15.75" customHeight="1" x14ac:dyDescent="0.3">
      <c r="A422" s="5"/>
      <c r="B422" s="5"/>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c r="AG422" s="5"/>
    </row>
    <row r="423" spans="1:33" ht="15.75" customHeight="1" x14ac:dyDescent="0.3">
      <c r="A423" s="5"/>
      <c r="B423" s="5"/>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c r="AG423" s="5"/>
    </row>
    <row r="424" spans="1:33" ht="15.75" customHeight="1" x14ac:dyDescent="0.3">
      <c r="A424" s="5"/>
      <c r="B424" s="5"/>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c r="AG424" s="5"/>
    </row>
    <row r="425" spans="1:33" ht="15.75" customHeight="1" x14ac:dyDescent="0.3">
      <c r="A425" s="5"/>
      <c r="B425" s="5"/>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c r="AG425" s="5"/>
    </row>
    <row r="426" spans="1:33" ht="15.75" customHeight="1" x14ac:dyDescent="0.3">
      <c r="A426" s="5"/>
      <c r="B426" s="5"/>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c r="AG426" s="5"/>
    </row>
    <row r="427" spans="1:33" ht="15.75" customHeight="1" x14ac:dyDescent="0.3">
      <c r="A427" s="5"/>
      <c r="B427" s="5"/>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c r="AG427" s="5"/>
    </row>
    <row r="428" spans="1:33" ht="15.75" customHeight="1" x14ac:dyDescent="0.3">
      <c r="A428" s="5"/>
      <c r="B428" s="5"/>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c r="AG428" s="5"/>
    </row>
    <row r="429" spans="1:33" ht="15.75" customHeight="1" x14ac:dyDescent="0.3">
      <c r="A429" s="5"/>
      <c r="B429" s="5"/>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c r="AG429" s="5"/>
    </row>
    <row r="430" spans="1:33" ht="15.75" customHeight="1" x14ac:dyDescent="0.3">
      <c r="A430" s="5"/>
      <c r="B430" s="5"/>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c r="AG430" s="5"/>
    </row>
    <row r="431" spans="1:33" ht="15.75" customHeight="1" x14ac:dyDescent="0.3">
      <c r="A431" s="5"/>
      <c r="B431" s="5"/>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c r="AG431" s="5"/>
    </row>
    <row r="432" spans="1:33" ht="15.75" customHeight="1" x14ac:dyDescent="0.3">
      <c r="A432" s="5"/>
      <c r="B432" s="5"/>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c r="AG432" s="5"/>
    </row>
    <row r="433" spans="1:33" ht="15.75" customHeight="1" x14ac:dyDescent="0.3">
      <c r="A433" s="5"/>
      <c r="B433" s="5"/>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c r="AG433" s="5"/>
    </row>
    <row r="434" spans="1:33" ht="15.75" customHeight="1" x14ac:dyDescent="0.3">
      <c r="A434" s="5"/>
      <c r="B434" s="5"/>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c r="AG434" s="5"/>
    </row>
    <row r="435" spans="1:33" ht="15.75" customHeight="1" x14ac:dyDescent="0.3">
      <c r="A435" s="5"/>
      <c r="B435" s="5"/>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c r="AG435" s="5"/>
    </row>
    <row r="436" spans="1:33" ht="15.75" customHeight="1" x14ac:dyDescent="0.3">
      <c r="A436" s="5"/>
      <c r="B436" s="5"/>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c r="AG436" s="5"/>
    </row>
    <row r="437" spans="1:33" ht="15.75" customHeight="1" x14ac:dyDescent="0.3">
      <c r="A437" s="5"/>
      <c r="B437" s="5"/>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c r="AG437" s="5"/>
    </row>
    <row r="438" spans="1:33" ht="15.75" customHeight="1" x14ac:dyDescent="0.3">
      <c r="A438" s="5"/>
      <c r="B438" s="5"/>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c r="AG438" s="5"/>
    </row>
    <row r="439" spans="1:33" ht="15.75" customHeight="1" x14ac:dyDescent="0.3">
      <c r="A439" s="5"/>
      <c r="B439" s="5"/>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c r="AG439" s="5"/>
    </row>
    <row r="440" spans="1:33" ht="15.75" customHeight="1" x14ac:dyDescent="0.3">
      <c r="A440" s="5"/>
      <c r="B440" s="5"/>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c r="AG440" s="5"/>
    </row>
    <row r="441" spans="1:33" ht="15.75" customHeight="1" x14ac:dyDescent="0.3">
      <c r="A441" s="5"/>
      <c r="B441" s="5"/>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c r="AG441" s="5"/>
    </row>
    <row r="442" spans="1:33" ht="15.75" customHeight="1" x14ac:dyDescent="0.3">
      <c r="A442" s="5"/>
      <c r="B442" s="5"/>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c r="AG442" s="5"/>
    </row>
    <row r="443" spans="1:33" ht="15.75" customHeight="1" x14ac:dyDescent="0.3">
      <c r="A443" s="5"/>
      <c r="B443" s="5"/>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c r="AG443" s="5"/>
    </row>
    <row r="444" spans="1:33" ht="15.75" customHeight="1" x14ac:dyDescent="0.3">
      <c r="A444" s="5"/>
      <c r="B444" s="5"/>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c r="AG444" s="5"/>
    </row>
    <row r="445" spans="1:33" ht="15.75" customHeight="1" x14ac:dyDescent="0.3">
      <c r="A445" s="5"/>
      <c r="B445" s="5"/>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c r="AG445" s="5"/>
    </row>
    <row r="446" spans="1:33" ht="15.75" customHeight="1" x14ac:dyDescent="0.3">
      <c r="A446" s="5"/>
      <c r="B446" s="5"/>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c r="AG446" s="5"/>
    </row>
    <row r="447" spans="1:33" ht="15.75" customHeight="1" x14ac:dyDescent="0.3">
      <c r="A447" s="5"/>
      <c r="B447" s="5"/>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c r="AG447" s="5"/>
    </row>
    <row r="448" spans="1:33" ht="15.75" customHeight="1" x14ac:dyDescent="0.3">
      <c r="A448" s="5"/>
      <c r="B448" s="5"/>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c r="AG448" s="5"/>
    </row>
    <row r="449" spans="1:33" ht="15.75" customHeight="1" x14ac:dyDescent="0.3">
      <c r="A449" s="5"/>
      <c r="B449" s="5"/>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c r="AG449" s="5"/>
    </row>
    <row r="450" spans="1:33" ht="15.75" customHeight="1" x14ac:dyDescent="0.3">
      <c r="A450" s="5"/>
      <c r="B450" s="5"/>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c r="AG450" s="5"/>
    </row>
    <row r="451" spans="1:33" ht="15.75" customHeight="1" x14ac:dyDescent="0.3">
      <c r="A451" s="5"/>
      <c r="B451" s="5"/>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c r="AG451" s="5"/>
    </row>
    <row r="452" spans="1:33" ht="15.75" customHeight="1" x14ac:dyDescent="0.3">
      <c r="A452" s="5"/>
      <c r="B452" s="5"/>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c r="AG452" s="5"/>
    </row>
    <row r="453" spans="1:33" ht="15.75" customHeight="1" x14ac:dyDescent="0.3">
      <c r="A453" s="5"/>
      <c r="B453" s="5"/>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c r="AG453" s="5"/>
    </row>
    <row r="454" spans="1:33" ht="15.75" customHeight="1" x14ac:dyDescent="0.3">
      <c r="A454" s="5"/>
      <c r="B454" s="5"/>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c r="AG454" s="5"/>
    </row>
    <row r="455" spans="1:33" ht="15.75" customHeight="1" x14ac:dyDescent="0.3">
      <c r="A455" s="5"/>
      <c r="B455" s="5"/>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c r="AG455" s="5"/>
    </row>
    <row r="456" spans="1:33" ht="15.75" customHeight="1" x14ac:dyDescent="0.3">
      <c r="A456" s="5"/>
      <c r="B456" s="5"/>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c r="AG456" s="5"/>
    </row>
    <row r="457" spans="1:33" ht="15.75" customHeight="1" x14ac:dyDescent="0.3">
      <c r="A457" s="5"/>
      <c r="B457" s="5"/>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c r="AG457" s="5"/>
    </row>
    <row r="458" spans="1:33" ht="15.75" customHeight="1" x14ac:dyDescent="0.3">
      <c r="A458" s="5"/>
      <c r="B458" s="5"/>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c r="AG458" s="5"/>
    </row>
    <row r="459" spans="1:33" ht="15.75" customHeight="1" x14ac:dyDescent="0.3">
      <c r="A459" s="5"/>
      <c r="B459" s="5"/>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c r="AG459" s="5"/>
    </row>
    <row r="460" spans="1:33" ht="15.75" customHeight="1" x14ac:dyDescent="0.3">
      <c r="A460" s="5"/>
      <c r="B460" s="5"/>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c r="AG460" s="5"/>
    </row>
    <row r="461" spans="1:33" ht="15.75" customHeight="1" x14ac:dyDescent="0.3">
      <c r="A461" s="5"/>
      <c r="B461" s="5"/>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c r="AG461" s="5"/>
    </row>
    <row r="462" spans="1:33" ht="15.75" customHeight="1" x14ac:dyDescent="0.3">
      <c r="A462" s="5"/>
      <c r="B462" s="5"/>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c r="AG462" s="5"/>
    </row>
    <row r="463" spans="1:33" ht="15.75" customHeight="1" x14ac:dyDescent="0.3">
      <c r="A463" s="5"/>
      <c r="B463" s="5"/>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c r="AG463" s="5"/>
    </row>
    <row r="464" spans="1:33" ht="15.75" customHeight="1" x14ac:dyDescent="0.3">
      <c r="A464" s="5"/>
      <c r="B464" s="5"/>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c r="AG464" s="5"/>
    </row>
    <row r="465" spans="1:33" ht="15.75" customHeight="1" x14ac:dyDescent="0.3">
      <c r="A465" s="5"/>
      <c r="B465" s="5"/>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c r="AG465" s="5"/>
    </row>
    <row r="466" spans="1:33" ht="15.75" customHeight="1" x14ac:dyDescent="0.3">
      <c r="A466" s="5"/>
      <c r="B466" s="5"/>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c r="AG466" s="5"/>
    </row>
    <row r="467" spans="1:33" ht="15.75" customHeight="1" x14ac:dyDescent="0.3">
      <c r="A467" s="5"/>
      <c r="B467" s="5"/>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c r="AG467" s="5"/>
    </row>
    <row r="468" spans="1:33" ht="15.75" customHeight="1" x14ac:dyDescent="0.3">
      <c r="A468" s="5"/>
      <c r="B468" s="5"/>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c r="AG468" s="5"/>
    </row>
    <row r="469" spans="1:33" ht="15.75" customHeight="1" x14ac:dyDescent="0.3">
      <c r="A469" s="5"/>
      <c r="B469" s="5"/>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c r="AG469" s="5"/>
    </row>
    <row r="470" spans="1:33" ht="15.75" customHeight="1" x14ac:dyDescent="0.3">
      <c r="A470" s="5"/>
      <c r="B470" s="5"/>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c r="AG470" s="5"/>
    </row>
    <row r="471" spans="1:33" ht="15.75" customHeight="1" x14ac:dyDescent="0.3">
      <c r="A471" s="5"/>
      <c r="B471" s="5"/>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c r="AG471" s="5"/>
    </row>
    <row r="472" spans="1:33" ht="15.75" customHeight="1" x14ac:dyDescent="0.3">
      <c r="A472" s="5"/>
      <c r="B472" s="5"/>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c r="AG472" s="5"/>
    </row>
    <row r="473" spans="1:33" ht="15.75" customHeight="1" x14ac:dyDescent="0.3">
      <c r="A473" s="5"/>
      <c r="B473" s="5"/>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c r="AG473" s="5"/>
    </row>
    <row r="474" spans="1:33" ht="15.75" customHeight="1" x14ac:dyDescent="0.3">
      <c r="A474" s="5"/>
      <c r="B474" s="5"/>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c r="AG474" s="5"/>
    </row>
    <row r="475" spans="1:33" ht="15.75" customHeight="1" x14ac:dyDescent="0.3">
      <c r="A475" s="5"/>
      <c r="B475" s="5"/>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c r="AG475" s="5"/>
    </row>
    <row r="476" spans="1:33" ht="15.75" customHeight="1" x14ac:dyDescent="0.3">
      <c r="A476" s="5"/>
      <c r="B476" s="5"/>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c r="AG476" s="5"/>
    </row>
    <row r="477" spans="1:33" ht="15.75" customHeight="1" x14ac:dyDescent="0.3">
      <c r="A477" s="5"/>
      <c r="B477" s="5"/>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c r="AG477" s="5"/>
    </row>
    <row r="478" spans="1:33" ht="15.75" customHeight="1" x14ac:dyDescent="0.3">
      <c r="A478" s="5"/>
      <c r="B478" s="5"/>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c r="AG478" s="5"/>
    </row>
    <row r="479" spans="1:33" ht="15.75" customHeight="1" x14ac:dyDescent="0.3">
      <c r="A479" s="5"/>
      <c r="B479" s="5"/>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c r="AG479" s="5"/>
    </row>
    <row r="480" spans="1:33" ht="15.75" customHeight="1" x14ac:dyDescent="0.3">
      <c r="A480" s="5"/>
      <c r="B480" s="5"/>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c r="AG480" s="5"/>
    </row>
    <row r="481" spans="1:33" ht="15.75" customHeight="1" x14ac:dyDescent="0.3">
      <c r="A481" s="5"/>
      <c r="B481" s="5"/>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c r="AG481" s="5"/>
    </row>
    <row r="482" spans="1:33" ht="15.75" customHeight="1" x14ac:dyDescent="0.3">
      <c r="A482" s="5"/>
      <c r="B482" s="5"/>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c r="AG482" s="5"/>
    </row>
    <row r="483" spans="1:33" ht="15.75" customHeight="1" x14ac:dyDescent="0.3">
      <c r="A483" s="5"/>
      <c r="B483" s="5"/>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c r="AG483" s="5"/>
    </row>
    <row r="484" spans="1:33" ht="15.75" customHeight="1" x14ac:dyDescent="0.3">
      <c r="A484" s="5"/>
      <c r="B484" s="5"/>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c r="AG484" s="5"/>
    </row>
    <row r="485" spans="1:33" ht="15.75" customHeight="1" x14ac:dyDescent="0.3">
      <c r="A485" s="5"/>
      <c r="B485" s="5"/>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c r="AG485" s="5"/>
    </row>
    <row r="486" spans="1:33" ht="15.75" customHeight="1" x14ac:dyDescent="0.3">
      <c r="A486" s="5"/>
      <c r="B486" s="5"/>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c r="AG486" s="5"/>
    </row>
    <row r="487" spans="1:33" ht="15.75" customHeight="1" x14ac:dyDescent="0.3">
      <c r="A487" s="5"/>
      <c r="B487" s="5"/>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c r="AG487" s="5"/>
    </row>
    <row r="488" spans="1:33" ht="15.75" customHeight="1" x14ac:dyDescent="0.3">
      <c r="A488" s="5"/>
      <c r="B488" s="5"/>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c r="AG488" s="5"/>
    </row>
    <row r="489" spans="1:33" ht="15.75" customHeight="1" x14ac:dyDescent="0.3">
      <c r="A489" s="5"/>
      <c r="B489" s="5"/>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c r="AG489" s="5"/>
    </row>
    <row r="490" spans="1:33" ht="15.75" customHeight="1" x14ac:dyDescent="0.3">
      <c r="A490" s="5"/>
      <c r="B490" s="5"/>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c r="AG490" s="5"/>
    </row>
    <row r="491" spans="1:33" ht="15.75" customHeight="1" x14ac:dyDescent="0.3">
      <c r="A491" s="5"/>
      <c r="B491" s="5"/>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c r="AG491" s="5"/>
    </row>
    <row r="492" spans="1:33" ht="15.75" customHeight="1" x14ac:dyDescent="0.3">
      <c r="A492" s="5"/>
      <c r="B492" s="5"/>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c r="AG492" s="5"/>
    </row>
    <row r="493" spans="1:33" ht="15.75" customHeight="1" x14ac:dyDescent="0.3">
      <c r="A493" s="5"/>
      <c r="B493" s="5"/>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c r="AG493" s="5"/>
    </row>
    <row r="494" spans="1:33" ht="15.75" customHeight="1" x14ac:dyDescent="0.3">
      <c r="A494" s="5"/>
      <c r="B494" s="5"/>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c r="AG494" s="5"/>
    </row>
    <row r="495" spans="1:33" ht="15.75" customHeight="1" x14ac:dyDescent="0.3">
      <c r="A495" s="5"/>
      <c r="B495" s="5"/>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c r="AG495" s="5"/>
    </row>
    <row r="496" spans="1:33" ht="15.75" customHeight="1" x14ac:dyDescent="0.3">
      <c r="A496" s="5"/>
      <c r="B496" s="5"/>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c r="AG496" s="5"/>
    </row>
    <row r="497" spans="1:33" ht="15.75" customHeight="1" x14ac:dyDescent="0.3">
      <c r="A497" s="5"/>
      <c r="B497" s="5"/>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c r="AG497" s="5"/>
    </row>
    <row r="498" spans="1:33" ht="15.75" customHeight="1" x14ac:dyDescent="0.3">
      <c r="A498" s="5"/>
      <c r="B498" s="5"/>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c r="AG498" s="5"/>
    </row>
    <row r="499" spans="1:33" ht="15.75" customHeight="1" x14ac:dyDescent="0.3">
      <c r="A499" s="5"/>
      <c r="B499" s="5"/>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c r="AG499" s="5"/>
    </row>
    <row r="500" spans="1:33" ht="15.75" customHeight="1" x14ac:dyDescent="0.3">
      <c r="A500" s="5"/>
      <c r="B500" s="5"/>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c r="AG500" s="5"/>
    </row>
    <row r="501" spans="1:33" ht="15.75" customHeight="1" x14ac:dyDescent="0.3">
      <c r="A501" s="5"/>
      <c r="B501" s="5"/>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c r="AG501" s="5"/>
    </row>
    <row r="502" spans="1:33" ht="15.75" customHeight="1" x14ac:dyDescent="0.3">
      <c r="A502" s="5"/>
      <c r="B502" s="5"/>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c r="AG502" s="5"/>
    </row>
    <row r="503" spans="1:33" ht="15.75" customHeight="1" x14ac:dyDescent="0.3">
      <c r="A503" s="5"/>
      <c r="B503" s="5"/>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c r="AG503" s="5"/>
    </row>
    <row r="504" spans="1:33" ht="15.75" customHeight="1" x14ac:dyDescent="0.3">
      <c r="A504" s="5"/>
      <c r="B504" s="5"/>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c r="AG504" s="5"/>
    </row>
    <row r="505" spans="1:33" ht="15.75" customHeight="1" x14ac:dyDescent="0.3">
      <c r="A505" s="5"/>
      <c r="B505" s="5"/>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c r="AG505" s="5"/>
    </row>
    <row r="506" spans="1:33" ht="15.75" customHeight="1" x14ac:dyDescent="0.3">
      <c r="A506" s="5"/>
      <c r="B506" s="5"/>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c r="AG506" s="5"/>
    </row>
    <row r="507" spans="1:33" ht="15.75" customHeight="1" x14ac:dyDescent="0.3">
      <c r="A507" s="5"/>
      <c r="B507" s="5"/>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c r="AG507" s="5"/>
    </row>
    <row r="508" spans="1:33" ht="15.75" customHeight="1" x14ac:dyDescent="0.3">
      <c r="A508" s="5"/>
      <c r="B508" s="5"/>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c r="AG508" s="5"/>
    </row>
    <row r="509" spans="1:33" ht="15.75" customHeight="1" x14ac:dyDescent="0.3">
      <c r="A509" s="5"/>
      <c r="B509" s="5"/>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c r="AG509" s="5"/>
    </row>
    <row r="510" spans="1:33" ht="15.75" customHeight="1" x14ac:dyDescent="0.3">
      <c r="A510" s="5"/>
      <c r="B510" s="5"/>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c r="AG510" s="5"/>
    </row>
    <row r="511" spans="1:33" ht="15.75" customHeight="1" x14ac:dyDescent="0.3">
      <c r="A511" s="5"/>
      <c r="B511" s="5"/>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c r="AG511" s="5"/>
    </row>
    <row r="512" spans="1:33" ht="15.75" customHeight="1" x14ac:dyDescent="0.3">
      <c r="A512" s="5"/>
      <c r="B512" s="5"/>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c r="AG512" s="5"/>
    </row>
    <row r="513" spans="1:33" ht="15.75" customHeight="1" x14ac:dyDescent="0.3">
      <c r="A513" s="5"/>
      <c r="B513" s="5"/>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c r="AG513" s="5"/>
    </row>
    <row r="514" spans="1:33" ht="15.75" customHeight="1" x14ac:dyDescent="0.3">
      <c r="A514" s="5"/>
      <c r="B514" s="5"/>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c r="AG514" s="5"/>
    </row>
    <row r="515" spans="1:33" ht="15.75" customHeight="1" x14ac:dyDescent="0.3">
      <c r="A515" s="5"/>
      <c r="B515" s="5"/>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c r="AG515" s="5"/>
    </row>
    <row r="516" spans="1:33" ht="15.75" customHeight="1" x14ac:dyDescent="0.3">
      <c r="A516" s="5"/>
      <c r="B516" s="5"/>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c r="AG516" s="5"/>
    </row>
    <row r="517" spans="1:33" ht="15.75" customHeight="1" x14ac:dyDescent="0.3">
      <c r="A517" s="5"/>
      <c r="B517" s="5"/>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c r="AG517" s="5"/>
    </row>
    <row r="518" spans="1:33" ht="15.75" customHeight="1" x14ac:dyDescent="0.3">
      <c r="A518" s="5"/>
      <c r="B518" s="5"/>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c r="AG518" s="5"/>
    </row>
    <row r="519" spans="1:33" ht="15.75" customHeight="1" x14ac:dyDescent="0.3">
      <c r="A519" s="5"/>
      <c r="B519" s="5"/>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c r="AG519" s="5"/>
    </row>
    <row r="520" spans="1:33" ht="15.75" customHeight="1" x14ac:dyDescent="0.3">
      <c r="A520" s="5"/>
      <c r="B520" s="5"/>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c r="AG520" s="5"/>
    </row>
    <row r="521" spans="1:33" ht="15.75" customHeight="1" x14ac:dyDescent="0.3">
      <c r="A521" s="5"/>
      <c r="B521" s="5"/>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c r="AG521" s="5"/>
    </row>
    <row r="522" spans="1:33" ht="15.75" customHeight="1" x14ac:dyDescent="0.3">
      <c r="A522" s="5"/>
      <c r="B522" s="5"/>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c r="AG522" s="5"/>
    </row>
    <row r="523" spans="1:33" ht="15.75" customHeight="1" x14ac:dyDescent="0.3">
      <c r="A523" s="5"/>
      <c r="B523" s="5"/>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c r="AG523" s="5"/>
    </row>
    <row r="524" spans="1:33" ht="15.75" customHeight="1" x14ac:dyDescent="0.3">
      <c r="A524" s="5"/>
      <c r="B524" s="5"/>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c r="AG524" s="5"/>
    </row>
    <row r="525" spans="1:33" ht="15.75" customHeight="1" x14ac:dyDescent="0.3">
      <c r="A525" s="5"/>
      <c r="B525" s="5"/>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c r="AG525" s="5"/>
    </row>
    <row r="526" spans="1:33" ht="15.75" customHeight="1" x14ac:dyDescent="0.3">
      <c r="A526" s="5"/>
      <c r="B526" s="5"/>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c r="AG526" s="5"/>
    </row>
    <row r="527" spans="1:33" ht="15.75" customHeight="1" x14ac:dyDescent="0.3">
      <c r="A527" s="5"/>
      <c r="B527" s="5"/>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c r="AG527" s="5"/>
    </row>
    <row r="528" spans="1:33" ht="15.75" customHeight="1" x14ac:dyDescent="0.3">
      <c r="A528" s="5"/>
      <c r="B528" s="5"/>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c r="AG528" s="5"/>
    </row>
    <row r="529" spans="1:33" ht="15.75" customHeight="1" x14ac:dyDescent="0.3">
      <c r="A529" s="5"/>
      <c r="B529" s="5"/>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c r="AG529" s="5"/>
    </row>
    <row r="530" spans="1:33" ht="15.75" customHeight="1" x14ac:dyDescent="0.3">
      <c r="A530" s="5"/>
      <c r="B530" s="5"/>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c r="AG530" s="5"/>
    </row>
    <row r="531" spans="1:33" ht="15.75" customHeight="1" x14ac:dyDescent="0.3">
      <c r="A531" s="5"/>
      <c r="B531" s="5"/>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c r="AG531" s="5"/>
    </row>
    <row r="532" spans="1:33" ht="15.75" customHeight="1" x14ac:dyDescent="0.3">
      <c r="A532" s="5"/>
      <c r="B532" s="5"/>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c r="AG532" s="5"/>
    </row>
    <row r="533" spans="1:33" ht="15.75" customHeight="1" x14ac:dyDescent="0.3">
      <c r="A533" s="5"/>
      <c r="B533" s="5"/>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c r="AG533" s="5"/>
    </row>
    <row r="534" spans="1:33" ht="15.75" customHeight="1" x14ac:dyDescent="0.3">
      <c r="A534" s="5"/>
      <c r="B534" s="5"/>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c r="AG534" s="5"/>
    </row>
    <row r="535" spans="1:33" ht="15.75" customHeight="1" x14ac:dyDescent="0.3">
      <c r="A535" s="5"/>
      <c r="B535" s="5"/>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c r="AG535" s="5"/>
    </row>
    <row r="536" spans="1:33" ht="15.75" customHeight="1" x14ac:dyDescent="0.3">
      <c r="A536" s="5"/>
      <c r="B536" s="5"/>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c r="AG536" s="5"/>
    </row>
    <row r="537" spans="1:33" ht="15.75" customHeight="1" x14ac:dyDescent="0.3">
      <c r="A537" s="5"/>
      <c r="B537" s="5"/>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c r="AG537" s="5"/>
    </row>
    <row r="538" spans="1:33" ht="15.75" customHeight="1" x14ac:dyDescent="0.3">
      <c r="A538" s="5"/>
      <c r="B538" s="5"/>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c r="AG538" s="5"/>
    </row>
    <row r="539" spans="1:33" ht="15.75" customHeight="1" x14ac:dyDescent="0.3">
      <c r="A539" s="5"/>
      <c r="B539" s="5"/>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c r="AG539" s="5"/>
    </row>
    <row r="540" spans="1:33" ht="15.75" customHeight="1" x14ac:dyDescent="0.3">
      <c r="A540" s="5"/>
      <c r="B540" s="5"/>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c r="AG540" s="5"/>
    </row>
    <row r="541" spans="1:33" ht="15.75" customHeight="1" x14ac:dyDescent="0.3">
      <c r="A541" s="5"/>
      <c r="B541" s="5"/>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c r="AG541" s="5"/>
    </row>
    <row r="542" spans="1:33" ht="15.75" customHeight="1" x14ac:dyDescent="0.3">
      <c r="A542" s="5"/>
      <c r="B542" s="5"/>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c r="AG542" s="5"/>
    </row>
    <row r="543" spans="1:33" ht="15.75" customHeight="1" x14ac:dyDescent="0.3">
      <c r="A543" s="5"/>
      <c r="B543" s="5"/>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c r="AG543" s="5"/>
    </row>
    <row r="544" spans="1:33" ht="15.75" customHeight="1" x14ac:dyDescent="0.3">
      <c r="A544" s="5"/>
      <c r="B544" s="5"/>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c r="AG544" s="5"/>
    </row>
    <row r="545" spans="1:33" ht="15.75" customHeight="1" x14ac:dyDescent="0.3">
      <c r="A545" s="5"/>
      <c r="B545" s="5"/>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c r="AG545" s="5"/>
    </row>
    <row r="546" spans="1:33" ht="15.75" customHeight="1" x14ac:dyDescent="0.3">
      <c r="A546" s="5"/>
      <c r="B546" s="5"/>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c r="AG546" s="5"/>
    </row>
    <row r="547" spans="1:33" ht="15.75" customHeight="1" x14ac:dyDescent="0.3">
      <c r="A547" s="5"/>
      <c r="B547" s="5"/>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c r="AG547" s="5"/>
    </row>
    <row r="548" spans="1:33" ht="15.75" customHeight="1" x14ac:dyDescent="0.3">
      <c r="A548" s="5"/>
      <c r="B548" s="5"/>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c r="AG548" s="5"/>
    </row>
    <row r="549" spans="1:33" ht="15.75" customHeight="1" x14ac:dyDescent="0.3">
      <c r="A549" s="5"/>
      <c r="B549" s="5"/>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c r="AG549" s="5"/>
    </row>
    <row r="550" spans="1:33" ht="15.75" customHeight="1" x14ac:dyDescent="0.3">
      <c r="A550" s="5"/>
      <c r="B550" s="5"/>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c r="AG550" s="5"/>
    </row>
    <row r="551" spans="1:33" ht="15.75" customHeight="1" x14ac:dyDescent="0.3">
      <c r="A551" s="5"/>
      <c r="B551" s="5"/>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c r="AG551" s="5"/>
    </row>
    <row r="552" spans="1:33" ht="15.75" customHeight="1" x14ac:dyDescent="0.3">
      <c r="A552" s="5"/>
      <c r="B552" s="5"/>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c r="AG552" s="5"/>
    </row>
    <row r="553" spans="1:33" ht="15.75" customHeight="1" x14ac:dyDescent="0.3">
      <c r="A553" s="5"/>
      <c r="B553" s="5"/>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c r="AG553" s="5"/>
    </row>
    <row r="554" spans="1:33" ht="15.75" customHeight="1" x14ac:dyDescent="0.3">
      <c r="A554" s="5"/>
      <c r="B554" s="5"/>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c r="AG554" s="5"/>
    </row>
    <row r="555" spans="1:33" ht="15.75" customHeight="1" x14ac:dyDescent="0.3">
      <c r="A555" s="5"/>
      <c r="B555" s="5"/>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c r="AG555" s="5"/>
    </row>
    <row r="556" spans="1:33" ht="15.75" customHeight="1" x14ac:dyDescent="0.3">
      <c r="A556" s="5"/>
      <c r="B556" s="5"/>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c r="AG556" s="5"/>
    </row>
    <row r="557" spans="1:33" ht="15.75" customHeight="1" x14ac:dyDescent="0.3">
      <c r="A557" s="5"/>
      <c r="B557" s="5"/>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c r="AG557" s="5"/>
    </row>
    <row r="558" spans="1:33" ht="15.75" customHeight="1" x14ac:dyDescent="0.3">
      <c r="A558" s="5"/>
      <c r="B558" s="5"/>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c r="AG558" s="5"/>
    </row>
    <row r="559" spans="1:33" ht="15.75" customHeight="1" x14ac:dyDescent="0.3">
      <c r="A559" s="5"/>
      <c r="B559" s="5"/>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c r="AG559" s="5"/>
    </row>
    <row r="560" spans="1:33" ht="15.75" customHeight="1" x14ac:dyDescent="0.3">
      <c r="A560" s="5"/>
      <c r="B560" s="5"/>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c r="AG560" s="5"/>
    </row>
    <row r="561" spans="1:33" ht="15.75" customHeight="1" x14ac:dyDescent="0.3">
      <c r="A561" s="5"/>
      <c r="B561" s="5"/>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c r="AG561" s="5"/>
    </row>
    <row r="562" spans="1:33" ht="15.75" customHeight="1" x14ac:dyDescent="0.3">
      <c r="A562" s="5"/>
      <c r="B562" s="5"/>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c r="AG562" s="5"/>
    </row>
    <row r="563" spans="1:33" ht="15.75" customHeight="1" x14ac:dyDescent="0.3">
      <c r="A563" s="5"/>
      <c r="B563" s="5"/>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c r="AG563" s="5"/>
    </row>
    <row r="564" spans="1:33" ht="15.75" customHeight="1" x14ac:dyDescent="0.3">
      <c r="A564" s="5"/>
      <c r="B564" s="5"/>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c r="AG564" s="5"/>
    </row>
    <row r="565" spans="1:33" ht="15.75" customHeight="1" x14ac:dyDescent="0.3">
      <c r="A565" s="5"/>
      <c r="B565" s="5"/>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c r="AG565" s="5"/>
    </row>
    <row r="566" spans="1:33" ht="15.75" customHeight="1" x14ac:dyDescent="0.3">
      <c r="A566" s="5"/>
      <c r="B566" s="5"/>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c r="AG566" s="5"/>
    </row>
    <row r="567" spans="1:33" ht="15.75" customHeight="1" x14ac:dyDescent="0.3">
      <c r="A567" s="5"/>
      <c r="B567" s="5"/>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c r="AG567" s="5"/>
    </row>
    <row r="568" spans="1:33" ht="15.75" customHeight="1" x14ac:dyDescent="0.3">
      <c r="A568" s="5"/>
      <c r="B568" s="5"/>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c r="AG568" s="5"/>
    </row>
    <row r="569" spans="1:33" ht="15.75" customHeight="1" x14ac:dyDescent="0.3">
      <c r="A569" s="5"/>
      <c r="B569" s="5"/>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c r="AG569" s="5"/>
    </row>
    <row r="570" spans="1:33" ht="15.75" customHeight="1" x14ac:dyDescent="0.3">
      <c r="A570" s="5"/>
      <c r="B570" s="5"/>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c r="AG570" s="5"/>
    </row>
    <row r="571" spans="1:33" ht="15.75" customHeight="1" x14ac:dyDescent="0.3">
      <c r="A571" s="5"/>
      <c r="B571" s="5"/>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c r="AG571" s="5"/>
    </row>
    <row r="572" spans="1:33" ht="15.75" customHeight="1" x14ac:dyDescent="0.3">
      <c r="A572" s="5"/>
      <c r="B572" s="5"/>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c r="AG572" s="5"/>
    </row>
    <row r="573" spans="1:33" ht="15.75" customHeight="1" x14ac:dyDescent="0.3">
      <c r="A573" s="5"/>
      <c r="B573" s="5"/>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c r="AG573" s="5"/>
    </row>
    <row r="574" spans="1:33" ht="15.75" customHeight="1" x14ac:dyDescent="0.3">
      <c r="A574" s="5"/>
      <c r="B574" s="5"/>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c r="AG574" s="5"/>
    </row>
    <row r="575" spans="1:33" ht="15.75" customHeight="1" x14ac:dyDescent="0.3">
      <c r="A575" s="5"/>
      <c r="B575" s="5"/>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c r="AG575" s="5"/>
    </row>
    <row r="576" spans="1:33" ht="15.75" customHeight="1" x14ac:dyDescent="0.3">
      <c r="A576" s="5"/>
      <c r="B576" s="5"/>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c r="AG576" s="5"/>
    </row>
    <row r="577" spans="1:33" ht="15.75" customHeight="1" x14ac:dyDescent="0.3">
      <c r="A577" s="5"/>
      <c r="B577" s="5"/>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c r="AG577" s="5"/>
    </row>
    <row r="578" spans="1:33" ht="15.75" customHeight="1" x14ac:dyDescent="0.3">
      <c r="A578" s="5"/>
      <c r="B578" s="5"/>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c r="AG578" s="5"/>
    </row>
    <row r="579" spans="1:33" ht="15.75" customHeight="1" x14ac:dyDescent="0.3">
      <c r="A579" s="5"/>
      <c r="B579" s="5"/>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c r="AG579" s="5"/>
    </row>
    <row r="580" spans="1:33" ht="15.75" customHeight="1" x14ac:dyDescent="0.3">
      <c r="A580" s="5"/>
      <c r="B580" s="5"/>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c r="AG580" s="5"/>
    </row>
    <row r="581" spans="1:33" ht="15.75" customHeight="1" x14ac:dyDescent="0.3">
      <c r="A581" s="5"/>
      <c r="B581" s="5"/>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c r="AG581" s="5"/>
    </row>
    <row r="582" spans="1:33" ht="15.75" customHeight="1" x14ac:dyDescent="0.3">
      <c r="A582" s="5"/>
      <c r="B582" s="5"/>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c r="AG582" s="5"/>
    </row>
    <row r="583" spans="1:33" ht="15.75" customHeight="1" x14ac:dyDescent="0.3">
      <c r="A583" s="5"/>
      <c r="B583" s="5"/>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c r="AG583" s="5"/>
    </row>
    <row r="584" spans="1:33" ht="15.75" customHeight="1" x14ac:dyDescent="0.3">
      <c r="A584" s="5"/>
      <c r="B584" s="5"/>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c r="AG584" s="5"/>
    </row>
    <row r="585" spans="1:33" ht="15.75" customHeight="1" x14ac:dyDescent="0.3">
      <c r="A585" s="5"/>
      <c r="B585" s="5"/>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c r="AG585" s="5"/>
    </row>
    <row r="586" spans="1:33" ht="15.75" customHeight="1" x14ac:dyDescent="0.3">
      <c r="A586" s="5"/>
      <c r="B586" s="5"/>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c r="AG586" s="5"/>
    </row>
    <row r="587" spans="1:33" ht="15.75" customHeight="1" x14ac:dyDescent="0.3">
      <c r="A587" s="5"/>
      <c r="B587" s="5"/>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c r="AG587" s="5"/>
    </row>
    <row r="588" spans="1:33" ht="15.75" customHeight="1" x14ac:dyDescent="0.3">
      <c r="A588" s="5"/>
      <c r="B588" s="5"/>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c r="AG588" s="5"/>
    </row>
    <row r="589" spans="1:33" ht="15.75" customHeight="1" x14ac:dyDescent="0.3">
      <c r="A589" s="5"/>
      <c r="B589" s="5"/>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c r="AG589" s="5"/>
    </row>
    <row r="590" spans="1:33" ht="15.75" customHeight="1" x14ac:dyDescent="0.3">
      <c r="A590" s="5"/>
      <c r="B590" s="5"/>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c r="AG590" s="5"/>
    </row>
    <row r="591" spans="1:33" ht="15.75" customHeight="1" x14ac:dyDescent="0.3">
      <c r="A591" s="5"/>
      <c r="B591" s="5"/>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c r="AG591" s="5"/>
    </row>
    <row r="592" spans="1:33" ht="15.75" customHeight="1" x14ac:dyDescent="0.3">
      <c r="A592" s="5"/>
      <c r="B592" s="5"/>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c r="AG592" s="5"/>
    </row>
    <row r="593" spans="1:33" ht="15.75" customHeight="1" x14ac:dyDescent="0.3">
      <c r="A593" s="5"/>
      <c r="B593" s="5"/>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c r="AG593" s="5"/>
    </row>
    <row r="594" spans="1:33" ht="15.75" customHeight="1" x14ac:dyDescent="0.3">
      <c r="A594" s="5"/>
      <c r="B594" s="5"/>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c r="AG594" s="5"/>
    </row>
    <row r="595" spans="1:33" ht="15.75" customHeight="1" x14ac:dyDescent="0.3">
      <c r="A595" s="5"/>
      <c r="B595" s="5"/>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c r="AG595" s="5"/>
    </row>
    <row r="596" spans="1:33" ht="15.75" customHeight="1" x14ac:dyDescent="0.3">
      <c r="A596" s="5"/>
      <c r="B596" s="5"/>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c r="AG596" s="5"/>
    </row>
    <row r="597" spans="1:33" ht="15.75" customHeight="1" x14ac:dyDescent="0.3">
      <c r="A597" s="5"/>
      <c r="B597" s="5"/>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c r="AG597" s="5"/>
    </row>
    <row r="598" spans="1:33" ht="15.75" customHeight="1" x14ac:dyDescent="0.3">
      <c r="A598" s="5"/>
      <c r="B598" s="5"/>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c r="AG598" s="5"/>
    </row>
    <row r="599" spans="1:33" ht="15.75" customHeight="1" x14ac:dyDescent="0.3">
      <c r="A599" s="5"/>
      <c r="B599" s="5"/>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c r="AG599" s="5"/>
    </row>
    <row r="600" spans="1:33" ht="15.75" customHeight="1" x14ac:dyDescent="0.3">
      <c r="A600" s="5"/>
      <c r="B600" s="5"/>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c r="AG600" s="5"/>
    </row>
    <row r="601" spans="1:33" ht="15.75" customHeight="1" x14ac:dyDescent="0.3">
      <c r="A601" s="5"/>
      <c r="B601" s="5"/>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c r="AG601" s="5"/>
    </row>
    <row r="602" spans="1:33" ht="15.75" customHeight="1" x14ac:dyDescent="0.3">
      <c r="A602" s="5"/>
      <c r="B602" s="5"/>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c r="AG602" s="5"/>
    </row>
    <row r="603" spans="1:33" ht="15.75" customHeight="1" x14ac:dyDescent="0.3">
      <c r="A603" s="5"/>
      <c r="B603" s="5"/>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c r="AG603" s="5"/>
    </row>
    <row r="604" spans="1:33" ht="15.75" customHeight="1" x14ac:dyDescent="0.3">
      <c r="A604" s="5"/>
      <c r="B604" s="5"/>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c r="AG604" s="5"/>
    </row>
    <row r="605" spans="1:33" ht="15.75" customHeight="1" x14ac:dyDescent="0.3">
      <c r="A605" s="5"/>
      <c r="B605" s="5"/>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c r="AG605" s="5"/>
    </row>
    <row r="606" spans="1:33" ht="15.75" customHeight="1" x14ac:dyDescent="0.3">
      <c r="A606" s="5"/>
      <c r="B606" s="5"/>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c r="AG606" s="5"/>
    </row>
    <row r="607" spans="1:33" ht="15.75" customHeight="1" x14ac:dyDescent="0.3">
      <c r="A607" s="5"/>
      <c r="B607" s="5"/>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c r="AG607" s="5"/>
    </row>
    <row r="608" spans="1:33" ht="15.75" customHeight="1" x14ac:dyDescent="0.3">
      <c r="A608" s="5"/>
      <c r="B608" s="5"/>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c r="AG608" s="5"/>
    </row>
    <row r="609" spans="1:33" ht="15.75" customHeight="1" x14ac:dyDescent="0.3">
      <c r="A609" s="5"/>
      <c r="B609" s="5"/>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c r="AG609" s="5"/>
    </row>
    <row r="610" spans="1:33" ht="15.75" customHeight="1" x14ac:dyDescent="0.3">
      <c r="A610" s="5"/>
      <c r="B610" s="5"/>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c r="AG610" s="5"/>
    </row>
    <row r="611" spans="1:33" ht="15.75" customHeight="1" x14ac:dyDescent="0.3">
      <c r="A611" s="5"/>
      <c r="B611" s="5"/>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c r="AG611" s="5"/>
    </row>
    <row r="612" spans="1:33" ht="15.75" customHeight="1" x14ac:dyDescent="0.3">
      <c r="A612" s="5"/>
      <c r="B612" s="5"/>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c r="AG612" s="5"/>
    </row>
    <row r="613" spans="1:33" ht="15.75" customHeight="1" x14ac:dyDescent="0.3">
      <c r="A613" s="5"/>
      <c r="B613" s="5"/>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c r="AG613" s="5"/>
    </row>
    <row r="614" spans="1:33" ht="15.75" customHeight="1" x14ac:dyDescent="0.3">
      <c r="A614" s="5"/>
      <c r="B614" s="5"/>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c r="AG614" s="5"/>
    </row>
    <row r="615" spans="1:33" ht="15.75" customHeight="1" x14ac:dyDescent="0.3">
      <c r="A615" s="5"/>
      <c r="B615" s="5"/>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c r="AG615" s="5"/>
    </row>
    <row r="616" spans="1:33" ht="15.75" customHeight="1" x14ac:dyDescent="0.3">
      <c r="A616" s="5"/>
      <c r="B616" s="5"/>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c r="AG616" s="5"/>
    </row>
    <row r="617" spans="1:33" ht="15.75" customHeight="1" x14ac:dyDescent="0.3">
      <c r="A617" s="5"/>
      <c r="B617" s="5"/>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c r="AG617" s="5"/>
    </row>
    <row r="618" spans="1:33" ht="15.75" customHeight="1" x14ac:dyDescent="0.3">
      <c r="A618" s="5"/>
      <c r="B618" s="5"/>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c r="AG618" s="5"/>
    </row>
    <row r="619" spans="1:33" ht="15.75" customHeight="1" x14ac:dyDescent="0.3">
      <c r="A619" s="5"/>
      <c r="B619" s="5"/>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c r="AG619" s="5"/>
    </row>
    <row r="620" spans="1:33" ht="15.75" customHeight="1" x14ac:dyDescent="0.3">
      <c r="A620" s="5"/>
      <c r="B620" s="5"/>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c r="AG620" s="5"/>
    </row>
    <row r="621" spans="1:33" ht="15.75" customHeight="1" x14ac:dyDescent="0.3">
      <c r="A621" s="5"/>
      <c r="B621" s="5"/>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c r="AG621" s="5"/>
    </row>
    <row r="622" spans="1:33" ht="15.75" customHeight="1" x14ac:dyDescent="0.3">
      <c r="A622" s="5"/>
      <c r="B622" s="5"/>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c r="AG622" s="5"/>
    </row>
    <row r="623" spans="1:33" ht="15.75" customHeight="1" x14ac:dyDescent="0.3">
      <c r="A623" s="5"/>
      <c r="B623" s="5"/>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c r="AG623" s="5"/>
    </row>
    <row r="624" spans="1:33" ht="15.75" customHeight="1" x14ac:dyDescent="0.3">
      <c r="A624" s="5"/>
      <c r="B624" s="5"/>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c r="AG624" s="5"/>
    </row>
    <row r="625" spans="1:33" ht="15.75" customHeight="1" x14ac:dyDescent="0.3">
      <c r="A625" s="5"/>
      <c r="B625" s="5"/>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c r="AG625" s="5"/>
    </row>
    <row r="626" spans="1:33" ht="15.75" customHeight="1" x14ac:dyDescent="0.3">
      <c r="A626" s="5"/>
      <c r="B626" s="5"/>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c r="AG626" s="5"/>
    </row>
    <row r="627" spans="1:33" ht="15.75" customHeight="1" x14ac:dyDescent="0.3">
      <c r="A627" s="5"/>
      <c r="B627" s="5"/>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c r="AG627" s="5"/>
    </row>
    <row r="628" spans="1:33" ht="15.75" customHeight="1" x14ac:dyDescent="0.3">
      <c r="A628" s="5"/>
      <c r="B628" s="5"/>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c r="AG628" s="5"/>
    </row>
    <row r="629" spans="1:33" ht="15.75" customHeight="1" x14ac:dyDescent="0.3">
      <c r="A629" s="5"/>
      <c r="B629" s="5"/>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c r="AG629" s="5"/>
    </row>
    <row r="630" spans="1:33" ht="15.75" customHeight="1" x14ac:dyDescent="0.3">
      <c r="A630" s="5"/>
      <c r="B630" s="5"/>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c r="AG630" s="5"/>
    </row>
    <row r="631" spans="1:33" ht="15.75" customHeight="1" x14ac:dyDescent="0.3">
      <c r="A631" s="5"/>
      <c r="B631" s="5"/>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c r="AG631" s="5"/>
    </row>
    <row r="632" spans="1:33" ht="15.75" customHeight="1" x14ac:dyDescent="0.3">
      <c r="A632" s="5"/>
      <c r="B632" s="5"/>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c r="AG632" s="5"/>
    </row>
    <row r="633" spans="1:33" ht="15.75" customHeight="1" x14ac:dyDescent="0.3">
      <c r="A633" s="5"/>
      <c r="B633" s="5"/>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c r="AG633" s="5"/>
    </row>
    <row r="634" spans="1:33" ht="15.75" customHeight="1" x14ac:dyDescent="0.3">
      <c r="A634" s="5"/>
      <c r="B634" s="5"/>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c r="AG634" s="5"/>
    </row>
    <row r="635" spans="1:33" ht="15.75" customHeight="1" x14ac:dyDescent="0.3">
      <c r="A635" s="5"/>
      <c r="B635" s="5"/>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c r="AG635" s="5"/>
    </row>
    <row r="636" spans="1:33" ht="15.75" customHeight="1" x14ac:dyDescent="0.3">
      <c r="A636" s="5"/>
      <c r="B636" s="5"/>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c r="AG636" s="5"/>
    </row>
    <row r="637" spans="1:33" ht="15.75" customHeight="1" x14ac:dyDescent="0.3">
      <c r="A637" s="5"/>
      <c r="B637" s="5"/>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c r="AG637" s="5"/>
    </row>
    <row r="638" spans="1:33" ht="15.75" customHeight="1" x14ac:dyDescent="0.3">
      <c r="A638" s="5"/>
      <c r="B638" s="5"/>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c r="AG638" s="5"/>
    </row>
    <row r="639" spans="1:33" ht="15.75" customHeight="1" x14ac:dyDescent="0.3">
      <c r="A639" s="5"/>
      <c r="B639" s="5"/>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c r="AG639" s="5"/>
    </row>
    <row r="640" spans="1:33" ht="15.75" customHeight="1" x14ac:dyDescent="0.3">
      <c r="A640" s="5"/>
      <c r="B640" s="5"/>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c r="AG640" s="5"/>
    </row>
    <row r="641" spans="1:33" ht="15.75" customHeight="1" x14ac:dyDescent="0.3">
      <c r="A641" s="5"/>
      <c r="B641" s="5"/>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c r="AG641" s="5"/>
    </row>
    <row r="642" spans="1:33" ht="15.75" customHeight="1" x14ac:dyDescent="0.3">
      <c r="A642" s="5"/>
      <c r="B642" s="5"/>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c r="AG642" s="5"/>
    </row>
    <row r="643" spans="1:33" ht="15.75" customHeight="1" x14ac:dyDescent="0.3">
      <c r="A643" s="5"/>
      <c r="B643" s="5"/>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c r="AG643" s="5"/>
    </row>
    <row r="644" spans="1:33" ht="15.75" customHeight="1" x14ac:dyDescent="0.3">
      <c r="A644" s="5"/>
      <c r="B644" s="5"/>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c r="AG644" s="5"/>
    </row>
    <row r="645" spans="1:33" ht="15.75" customHeight="1" x14ac:dyDescent="0.3">
      <c r="A645" s="5"/>
      <c r="B645" s="5"/>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c r="AG645" s="5"/>
    </row>
    <row r="646" spans="1:33" ht="15.75" customHeight="1" x14ac:dyDescent="0.3">
      <c r="A646" s="5"/>
      <c r="B646" s="5"/>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c r="AG646" s="5"/>
    </row>
    <row r="647" spans="1:33" ht="15.75" customHeight="1" x14ac:dyDescent="0.3">
      <c r="A647" s="5"/>
      <c r="B647" s="5"/>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c r="AG647" s="5"/>
    </row>
    <row r="648" spans="1:33" ht="15.75" customHeight="1" x14ac:dyDescent="0.3">
      <c r="A648" s="5"/>
      <c r="B648" s="5"/>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c r="AG648" s="5"/>
    </row>
    <row r="649" spans="1:33" ht="15.75" customHeight="1" x14ac:dyDescent="0.3">
      <c r="A649" s="5"/>
      <c r="B649" s="5"/>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c r="AG649" s="5"/>
    </row>
    <row r="650" spans="1:33" ht="15.75" customHeight="1" x14ac:dyDescent="0.3">
      <c r="A650" s="5"/>
      <c r="B650" s="5"/>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c r="AG650" s="5"/>
    </row>
    <row r="651" spans="1:33" ht="15.75" customHeight="1" x14ac:dyDescent="0.3">
      <c r="A651" s="5"/>
      <c r="B651" s="5"/>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c r="AG651" s="5"/>
    </row>
    <row r="652" spans="1:33" ht="15.75" customHeight="1" x14ac:dyDescent="0.3">
      <c r="A652" s="5"/>
      <c r="B652" s="5"/>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c r="AG652" s="5"/>
    </row>
    <row r="653" spans="1:33" ht="15.75" customHeight="1" x14ac:dyDescent="0.3">
      <c r="A653" s="5"/>
      <c r="B653" s="5"/>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c r="AG653" s="5"/>
    </row>
    <row r="654" spans="1:33" ht="15.75" customHeight="1" x14ac:dyDescent="0.3">
      <c r="A654" s="5"/>
      <c r="B654" s="5"/>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c r="AG654" s="5"/>
    </row>
    <row r="655" spans="1:33" ht="15.75" customHeight="1" x14ac:dyDescent="0.3">
      <c r="A655" s="5"/>
      <c r="B655" s="5"/>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c r="AG655" s="5"/>
    </row>
    <row r="656" spans="1:33" ht="15.75" customHeight="1" x14ac:dyDescent="0.3">
      <c r="A656" s="5"/>
      <c r="B656" s="5"/>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c r="AG656" s="5"/>
    </row>
    <row r="657" spans="1:33" ht="15.75" customHeight="1" x14ac:dyDescent="0.3">
      <c r="A657" s="5"/>
      <c r="B657" s="5"/>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c r="AG657" s="5"/>
    </row>
    <row r="658" spans="1:33" ht="15.75" customHeight="1" x14ac:dyDescent="0.3">
      <c r="A658" s="5"/>
      <c r="B658" s="5"/>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c r="AG658" s="5"/>
    </row>
    <row r="659" spans="1:33" ht="15.75" customHeight="1" x14ac:dyDescent="0.3">
      <c r="A659" s="5"/>
      <c r="B659" s="5"/>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c r="AG659" s="5"/>
    </row>
    <row r="660" spans="1:33" ht="15.75" customHeight="1" x14ac:dyDescent="0.3">
      <c r="A660" s="5"/>
      <c r="B660" s="5"/>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c r="AG660" s="5"/>
    </row>
    <row r="661" spans="1:33" ht="15.75" customHeight="1" x14ac:dyDescent="0.3">
      <c r="A661" s="5"/>
      <c r="B661" s="5"/>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c r="AG661" s="5"/>
    </row>
    <row r="662" spans="1:33" ht="15.75" customHeight="1" x14ac:dyDescent="0.3">
      <c r="A662" s="5"/>
      <c r="B662" s="5"/>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c r="AG662" s="5"/>
    </row>
    <row r="663" spans="1:33" ht="15.75" customHeight="1" x14ac:dyDescent="0.3">
      <c r="A663" s="5"/>
      <c r="B663" s="5"/>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c r="AG663" s="5"/>
    </row>
    <row r="664" spans="1:33" ht="15.75" customHeight="1" x14ac:dyDescent="0.3">
      <c r="A664" s="5"/>
      <c r="B664" s="5"/>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c r="AG664" s="5"/>
    </row>
    <row r="665" spans="1:33" ht="15.75" customHeight="1" x14ac:dyDescent="0.3">
      <c r="A665" s="5"/>
      <c r="B665" s="5"/>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c r="AG665" s="5"/>
    </row>
    <row r="666" spans="1:33" ht="15.75" customHeight="1" x14ac:dyDescent="0.3">
      <c r="A666" s="5"/>
      <c r="B666" s="5"/>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c r="AG666" s="5"/>
    </row>
    <row r="667" spans="1:33" ht="15.75" customHeight="1" x14ac:dyDescent="0.3">
      <c r="A667" s="5"/>
      <c r="B667" s="5"/>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c r="AG667" s="5"/>
    </row>
    <row r="668" spans="1:33" ht="15.75" customHeight="1" x14ac:dyDescent="0.3">
      <c r="A668" s="5"/>
      <c r="B668" s="5"/>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c r="AG668" s="5"/>
    </row>
    <row r="669" spans="1:33" ht="15.75" customHeight="1" x14ac:dyDescent="0.3">
      <c r="A669" s="5"/>
      <c r="B669" s="5"/>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c r="AG669" s="5"/>
    </row>
    <row r="670" spans="1:33" ht="15.75" customHeight="1" x14ac:dyDescent="0.3">
      <c r="A670" s="5"/>
      <c r="B670" s="5"/>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c r="AG670" s="5"/>
    </row>
    <row r="671" spans="1:33" ht="15.75" customHeight="1" x14ac:dyDescent="0.3">
      <c r="A671" s="5"/>
      <c r="B671" s="5"/>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c r="AG671" s="5"/>
    </row>
    <row r="672" spans="1:33" ht="15.75" customHeight="1" x14ac:dyDescent="0.3">
      <c r="A672" s="5"/>
      <c r="B672" s="5"/>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c r="AG672" s="5"/>
    </row>
    <row r="673" spans="1:33" ht="15.75" customHeight="1" x14ac:dyDescent="0.3">
      <c r="A673" s="5"/>
      <c r="B673" s="5"/>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c r="AG673" s="5"/>
    </row>
    <row r="674" spans="1:33" ht="15.75" customHeight="1" x14ac:dyDescent="0.3">
      <c r="A674" s="5"/>
      <c r="B674" s="5"/>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c r="AG674" s="5"/>
    </row>
    <row r="675" spans="1:33" ht="15.75" customHeight="1" x14ac:dyDescent="0.3">
      <c r="A675" s="5"/>
      <c r="B675" s="5"/>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c r="AG675" s="5"/>
    </row>
    <row r="676" spans="1:33" ht="15.75" customHeight="1" x14ac:dyDescent="0.3">
      <c r="A676" s="5"/>
      <c r="B676" s="5"/>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c r="AG676" s="5"/>
    </row>
    <row r="677" spans="1:33" ht="15.75" customHeight="1" x14ac:dyDescent="0.3">
      <c r="A677" s="5"/>
      <c r="B677" s="5"/>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c r="AG677" s="5"/>
    </row>
    <row r="678" spans="1:33" ht="15.75" customHeight="1" x14ac:dyDescent="0.3">
      <c r="A678" s="5"/>
      <c r="B678" s="5"/>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c r="AG678" s="5"/>
    </row>
    <row r="679" spans="1:33" ht="15.75" customHeight="1" x14ac:dyDescent="0.3">
      <c r="A679" s="5"/>
      <c r="B679" s="5"/>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c r="AG679" s="5"/>
    </row>
    <row r="680" spans="1:33" ht="15.75" customHeight="1" x14ac:dyDescent="0.3">
      <c r="A680" s="5"/>
      <c r="B680" s="5"/>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c r="AG680" s="5"/>
    </row>
    <row r="681" spans="1:33" ht="15.75" customHeight="1" x14ac:dyDescent="0.3">
      <c r="A681" s="5"/>
      <c r="B681" s="5"/>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c r="AG681" s="5"/>
    </row>
    <row r="682" spans="1:33" ht="15.75" customHeight="1" x14ac:dyDescent="0.3">
      <c r="A682" s="5"/>
      <c r="B682" s="5"/>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c r="AG682" s="5"/>
    </row>
    <row r="683" spans="1:33" ht="15.75" customHeight="1" x14ac:dyDescent="0.3">
      <c r="A683" s="5"/>
      <c r="B683" s="5"/>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c r="AG683" s="5"/>
    </row>
    <row r="684" spans="1:33" ht="15.75" customHeight="1" x14ac:dyDescent="0.3">
      <c r="A684" s="5"/>
      <c r="B684" s="5"/>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c r="AG684" s="5"/>
    </row>
    <row r="685" spans="1:33" ht="15.75" customHeight="1" x14ac:dyDescent="0.3">
      <c r="A685" s="5"/>
      <c r="B685" s="5"/>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c r="AG685" s="5"/>
    </row>
    <row r="686" spans="1:33" ht="15.75" customHeight="1" x14ac:dyDescent="0.3">
      <c r="A686" s="5"/>
      <c r="B686" s="5"/>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c r="AG686" s="5"/>
    </row>
    <row r="687" spans="1:33" ht="15.75" customHeight="1" x14ac:dyDescent="0.3">
      <c r="A687" s="5"/>
      <c r="B687" s="5"/>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c r="AG687" s="5"/>
    </row>
    <row r="688" spans="1:33" ht="15.75" customHeight="1" x14ac:dyDescent="0.3">
      <c r="A688" s="5"/>
      <c r="B688" s="5"/>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c r="AG688" s="5"/>
    </row>
    <row r="689" spans="1:33" ht="15.75" customHeight="1" x14ac:dyDescent="0.3">
      <c r="A689" s="5"/>
      <c r="B689" s="5"/>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c r="AG689" s="5"/>
    </row>
    <row r="690" spans="1:33" ht="15.75" customHeight="1" x14ac:dyDescent="0.3">
      <c r="A690" s="5"/>
      <c r="B690" s="5"/>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c r="AG690" s="5"/>
    </row>
    <row r="691" spans="1:33" ht="15.75" customHeight="1" x14ac:dyDescent="0.3">
      <c r="A691" s="5"/>
      <c r="B691" s="5"/>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c r="AG691" s="5"/>
    </row>
    <row r="692" spans="1:33" ht="15.75" customHeight="1" x14ac:dyDescent="0.3">
      <c r="A692" s="5"/>
      <c r="B692" s="5"/>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c r="AG692" s="5"/>
    </row>
    <row r="693" spans="1:33" ht="15.75" customHeight="1" x14ac:dyDescent="0.3">
      <c r="A693" s="5"/>
      <c r="B693" s="5"/>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c r="AG693" s="5"/>
    </row>
    <row r="694" spans="1:33" ht="15.75" customHeight="1" x14ac:dyDescent="0.3">
      <c r="A694" s="5"/>
      <c r="B694" s="5"/>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c r="AG694" s="5"/>
    </row>
    <row r="695" spans="1:33" ht="15.75" customHeight="1" x14ac:dyDescent="0.3">
      <c r="A695" s="5"/>
      <c r="B695" s="5"/>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c r="AG695" s="5"/>
    </row>
    <row r="696" spans="1:33" ht="15.75" customHeight="1" x14ac:dyDescent="0.3">
      <c r="A696" s="5"/>
      <c r="B696" s="5"/>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c r="AG696" s="5"/>
    </row>
    <row r="697" spans="1:33" ht="15.75" customHeight="1" x14ac:dyDescent="0.3">
      <c r="A697" s="5"/>
      <c r="B697" s="5"/>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c r="AG697" s="5"/>
    </row>
    <row r="698" spans="1:33" ht="15.75" customHeight="1" x14ac:dyDescent="0.3">
      <c r="A698" s="5"/>
      <c r="B698" s="5"/>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c r="AG698" s="5"/>
    </row>
    <row r="699" spans="1:33" ht="15.75" customHeight="1" x14ac:dyDescent="0.3">
      <c r="A699" s="5"/>
      <c r="B699" s="5"/>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c r="AG699" s="5"/>
    </row>
    <row r="700" spans="1:33" ht="15.75" customHeight="1" x14ac:dyDescent="0.3">
      <c r="A700" s="5"/>
      <c r="B700" s="5"/>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c r="AG700" s="5"/>
    </row>
    <row r="701" spans="1:33" ht="15.75" customHeight="1" x14ac:dyDescent="0.3">
      <c r="A701" s="5"/>
      <c r="B701" s="5"/>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c r="AG701" s="5"/>
    </row>
    <row r="702" spans="1:33" ht="15.75" customHeight="1" x14ac:dyDescent="0.3">
      <c r="A702" s="5"/>
      <c r="B702" s="5"/>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c r="AG702" s="5"/>
    </row>
    <row r="703" spans="1:33" ht="15.75" customHeight="1" x14ac:dyDescent="0.3">
      <c r="A703" s="5"/>
      <c r="B703" s="5"/>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c r="AG703" s="5"/>
    </row>
    <row r="704" spans="1:33" ht="15.75" customHeight="1" x14ac:dyDescent="0.3">
      <c r="A704" s="5"/>
      <c r="B704" s="5"/>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c r="AG704" s="5"/>
    </row>
    <row r="705" spans="1:33" ht="15.75" customHeight="1" x14ac:dyDescent="0.3">
      <c r="A705" s="5"/>
      <c r="B705" s="5"/>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c r="AG705" s="5"/>
    </row>
    <row r="706" spans="1:33" ht="15.75" customHeight="1" x14ac:dyDescent="0.3">
      <c r="A706" s="5"/>
      <c r="B706" s="5"/>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c r="AG706" s="5"/>
    </row>
    <row r="707" spans="1:33" ht="15.75" customHeight="1" x14ac:dyDescent="0.3">
      <c r="A707" s="5"/>
      <c r="B707" s="5"/>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c r="AG707" s="5"/>
    </row>
    <row r="708" spans="1:33" ht="15.75" customHeight="1" x14ac:dyDescent="0.3">
      <c r="A708" s="5"/>
      <c r="B708" s="5"/>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c r="AG708" s="5"/>
    </row>
    <row r="709" spans="1:33" ht="15.75" customHeight="1" x14ac:dyDescent="0.3">
      <c r="A709" s="5"/>
      <c r="B709" s="5"/>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c r="AG709" s="5"/>
    </row>
    <row r="710" spans="1:33" ht="15.75" customHeight="1" x14ac:dyDescent="0.3">
      <c r="A710" s="5"/>
      <c r="B710" s="5"/>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c r="AG710" s="5"/>
    </row>
    <row r="711" spans="1:33" ht="15.75" customHeight="1" x14ac:dyDescent="0.3">
      <c r="A711" s="5"/>
      <c r="B711" s="5"/>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c r="AG711" s="5"/>
    </row>
    <row r="712" spans="1:33" ht="15.75" customHeight="1" x14ac:dyDescent="0.3">
      <c r="A712" s="5"/>
      <c r="B712" s="5"/>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c r="AG712" s="5"/>
    </row>
    <row r="713" spans="1:33" ht="15.75" customHeight="1" x14ac:dyDescent="0.3">
      <c r="A713" s="5"/>
      <c r="B713" s="5"/>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c r="AG713" s="5"/>
    </row>
    <row r="714" spans="1:33" ht="15.75" customHeight="1" x14ac:dyDescent="0.3">
      <c r="A714" s="5"/>
      <c r="B714" s="5"/>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c r="AG714" s="5"/>
    </row>
    <row r="715" spans="1:33" ht="15.75" customHeight="1" x14ac:dyDescent="0.3">
      <c r="A715" s="5"/>
      <c r="B715" s="5"/>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c r="AG715" s="5"/>
    </row>
    <row r="716" spans="1:33" ht="15.75" customHeight="1" x14ac:dyDescent="0.3">
      <c r="A716" s="5"/>
      <c r="B716" s="5"/>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c r="AG716" s="5"/>
    </row>
    <row r="717" spans="1:33" ht="15.75" customHeight="1" x14ac:dyDescent="0.3">
      <c r="A717" s="5"/>
      <c r="B717" s="5"/>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c r="AG717" s="5"/>
    </row>
    <row r="718" spans="1:33" ht="15.75" customHeight="1" x14ac:dyDescent="0.3">
      <c r="A718" s="5"/>
      <c r="B718" s="5"/>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c r="AG718" s="5"/>
    </row>
    <row r="719" spans="1:33" ht="15.75" customHeight="1" x14ac:dyDescent="0.3">
      <c r="A719" s="5"/>
      <c r="B719" s="5"/>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c r="AG719" s="5"/>
    </row>
    <row r="720" spans="1:33" ht="15.75" customHeight="1" x14ac:dyDescent="0.3">
      <c r="A720" s="5"/>
      <c r="B720" s="5"/>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c r="AG720" s="5"/>
    </row>
    <row r="721" spans="1:33" ht="15.75" customHeight="1" x14ac:dyDescent="0.3">
      <c r="A721" s="5"/>
      <c r="B721" s="5"/>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c r="AG721" s="5"/>
    </row>
    <row r="722" spans="1:33" ht="15.75" customHeight="1" x14ac:dyDescent="0.3">
      <c r="A722" s="5"/>
      <c r="B722" s="5"/>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c r="AG722" s="5"/>
    </row>
    <row r="723" spans="1:33" ht="15.75" customHeight="1" x14ac:dyDescent="0.3">
      <c r="A723" s="5"/>
      <c r="B723" s="5"/>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c r="AG723" s="5"/>
    </row>
    <row r="724" spans="1:33" ht="15.75" customHeight="1" x14ac:dyDescent="0.3">
      <c r="A724" s="5"/>
      <c r="B724" s="5"/>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c r="AG724" s="5"/>
    </row>
    <row r="725" spans="1:33" ht="15.75" customHeight="1" x14ac:dyDescent="0.3">
      <c r="A725" s="5"/>
      <c r="B725" s="5"/>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c r="AG725" s="5"/>
    </row>
    <row r="726" spans="1:33" ht="15.75" customHeight="1" x14ac:dyDescent="0.3">
      <c r="A726" s="5"/>
      <c r="B726" s="5"/>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c r="AG726" s="5"/>
    </row>
    <row r="727" spans="1:33" ht="15.75" customHeight="1" x14ac:dyDescent="0.3">
      <c r="A727" s="5"/>
      <c r="B727" s="5"/>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c r="AG727" s="5"/>
    </row>
    <row r="728" spans="1:33" ht="15.75" customHeight="1" x14ac:dyDescent="0.3">
      <c r="A728" s="5"/>
      <c r="B728" s="5"/>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c r="AG728" s="5"/>
    </row>
    <row r="729" spans="1:33" ht="15.75" customHeight="1" x14ac:dyDescent="0.3">
      <c r="A729" s="5"/>
      <c r="B729" s="5"/>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c r="AG729" s="5"/>
    </row>
    <row r="730" spans="1:33" ht="15.75" customHeight="1" x14ac:dyDescent="0.3">
      <c r="A730" s="5"/>
      <c r="B730" s="5"/>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c r="AG730" s="5"/>
    </row>
    <row r="731" spans="1:33" ht="15.75" customHeight="1" x14ac:dyDescent="0.3">
      <c r="A731" s="5"/>
      <c r="B731" s="5"/>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c r="AG731" s="5"/>
    </row>
    <row r="732" spans="1:33" ht="15.75" customHeight="1" x14ac:dyDescent="0.3">
      <c r="A732" s="5"/>
      <c r="B732" s="5"/>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c r="AG732" s="5"/>
    </row>
    <row r="733" spans="1:33" ht="15.75" customHeight="1" x14ac:dyDescent="0.3">
      <c r="A733" s="5"/>
      <c r="B733" s="5"/>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c r="AG733" s="5"/>
    </row>
    <row r="734" spans="1:33" ht="15.75" customHeight="1" x14ac:dyDescent="0.3">
      <c r="A734" s="5"/>
      <c r="B734" s="5"/>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c r="AG734" s="5"/>
    </row>
    <row r="735" spans="1:33" ht="15.75" customHeight="1" x14ac:dyDescent="0.3">
      <c r="A735" s="5"/>
      <c r="B735" s="5"/>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c r="AG735" s="5"/>
    </row>
    <row r="736" spans="1:33" ht="15.75" customHeight="1" x14ac:dyDescent="0.3">
      <c r="A736" s="5"/>
      <c r="B736" s="5"/>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c r="AG736" s="5"/>
    </row>
    <row r="737" spans="1:33" ht="15.75" customHeight="1" x14ac:dyDescent="0.3">
      <c r="A737" s="5"/>
      <c r="B737" s="5"/>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c r="AG737" s="5"/>
    </row>
    <row r="738" spans="1:33" ht="15.75" customHeight="1" x14ac:dyDescent="0.3">
      <c r="A738" s="5"/>
      <c r="B738" s="5"/>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c r="AG738" s="5"/>
    </row>
    <row r="739" spans="1:33" ht="15.75" customHeight="1" x14ac:dyDescent="0.3">
      <c r="A739" s="5"/>
      <c r="B739" s="5"/>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c r="AG739" s="5"/>
    </row>
    <row r="740" spans="1:33" ht="15.75" customHeight="1" x14ac:dyDescent="0.3">
      <c r="A740" s="5"/>
      <c r="B740" s="5"/>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c r="AG740" s="5"/>
    </row>
    <row r="741" spans="1:33" ht="15.75" customHeight="1" x14ac:dyDescent="0.3">
      <c r="A741" s="5"/>
      <c r="B741" s="5"/>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c r="AG741" s="5"/>
    </row>
    <row r="742" spans="1:33" ht="15.75" customHeight="1" x14ac:dyDescent="0.3">
      <c r="A742" s="5"/>
      <c r="B742" s="5"/>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c r="AG742" s="5"/>
    </row>
    <row r="743" spans="1:33" ht="15.75" customHeight="1" x14ac:dyDescent="0.3">
      <c r="A743" s="5"/>
      <c r="B743" s="5"/>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c r="AG743" s="5"/>
    </row>
    <row r="744" spans="1:33" ht="15.75" customHeight="1" x14ac:dyDescent="0.3">
      <c r="A744" s="5"/>
      <c r="B744" s="5"/>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c r="AG744" s="5"/>
    </row>
    <row r="745" spans="1:33" ht="15.75" customHeight="1" x14ac:dyDescent="0.3">
      <c r="A745" s="5"/>
      <c r="B745" s="5"/>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c r="AG745" s="5"/>
    </row>
    <row r="746" spans="1:33" ht="15.75" customHeight="1" x14ac:dyDescent="0.3">
      <c r="A746" s="5"/>
      <c r="B746" s="5"/>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c r="AG746" s="5"/>
    </row>
    <row r="747" spans="1:33" ht="15.75" customHeight="1" x14ac:dyDescent="0.3">
      <c r="A747" s="5"/>
      <c r="B747" s="5"/>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c r="AG747" s="5"/>
    </row>
    <row r="748" spans="1:33" ht="15.75" customHeight="1" x14ac:dyDescent="0.3">
      <c r="A748" s="5"/>
      <c r="B748" s="5"/>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c r="AG748" s="5"/>
    </row>
    <row r="749" spans="1:33" ht="15.75" customHeight="1" x14ac:dyDescent="0.3">
      <c r="A749" s="5"/>
      <c r="B749" s="5"/>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c r="AG749" s="5"/>
    </row>
    <row r="750" spans="1:33" ht="15.75" customHeight="1" x14ac:dyDescent="0.3">
      <c r="A750" s="5"/>
      <c r="B750" s="5"/>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c r="AG750" s="5"/>
    </row>
    <row r="751" spans="1:33" ht="15.75" customHeight="1" x14ac:dyDescent="0.3">
      <c r="A751" s="5"/>
      <c r="B751" s="5"/>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c r="AG751" s="5"/>
    </row>
    <row r="752" spans="1:33" ht="15.75" customHeight="1" x14ac:dyDescent="0.3">
      <c r="A752" s="5"/>
      <c r="B752" s="5"/>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c r="AG752" s="5"/>
    </row>
    <row r="753" spans="1:33" ht="15.75" customHeight="1" x14ac:dyDescent="0.3">
      <c r="A753" s="5"/>
      <c r="B753" s="5"/>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c r="AG753" s="5"/>
    </row>
    <row r="754" spans="1:33" ht="15.75" customHeight="1" x14ac:dyDescent="0.3">
      <c r="A754" s="5"/>
      <c r="B754" s="5"/>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c r="AG754" s="5"/>
    </row>
    <row r="755" spans="1:33" ht="15.75" customHeight="1" x14ac:dyDescent="0.3">
      <c r="A755" s="5"/>
      <c r="B755" s="5"/>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c r="AG755" s="5"/>
    </row>
    <row r="756" spans="1:33" ht="15.75" customHeight="1" x14ac:dyDescent="0.3">
      <c r="A756" s="5"/>
      <c r="B756" s="5"/>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c r="AG756" s="5"/>
    </row>
    <row r="757" spans="1:33" ht="15.75" customHeight="1" x14ac:dyDescent="0.3">
      <c r="A757" s="5"/>
      <c r="B757" s="5"/>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c r="AG757" s="5"/>
    </row>
    <row r="758" spans="1:33" ht="15.75" customHeight="1" x14ac:dyDescent="0.3">
      <c r="A758" s="5"/>
      <c r="B758" s="5"/>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c r="AG758" s="5"/>
    </row>
    <row r="759" spans="1:33" ht="15.75" customHeight="1" x14ac:dyDescent="0.3">
      <c r="A759" s="5"/>
      <c r="B759" s="5"/>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c r="AG759" s="5"/>
    </row>
    <row r="760" spans="1:33" ht="15.75" customHeight="1" x14ac:dyDescent="0.3">
      <c r="A760" s="5"/>
      <c r="B760" s="5"/>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c r="AG760" s="5"/>
    </row>
    <row r="761" spans="1:33" ht="15.75" customHeight="1" x14ac:dyDescent="0.3">
      <c r="A761" s="5"/>
      <c r="B761" s="5"/>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c r="AG761" s="5"/>
    </row>
    <row r="762" spans="1:33" ht="15.75" customHeight="1" x14ac:dyDescent="0.3">
      <c r="A762" s="5"/>
      <c r="B762" s="5"/>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c r="AG762" s="5"/>
    </row>
    <row r="763" spans="1:33" ht="15.75" customHeight="1" x14ac:dyDescent="0.3">
      <c r="A763" s="5"/>
      <c r="B763" s="5"/>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c r="AG763" s="5"/>
    </row>
    <row r="764" spans="1:33" ht="15.75" customHeight="1" x14ac:dyDescent="0.3">
      <c r="A764" s="5"/>
      <c r="B764" s="5"/>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c r="AG764" s="5"/>
    </row>
    <row r="765" spans="1:33" ht="15.75" customHeight="1" x14ac:dyDescent="0.3">
      <c r="A765" s="5"/>
      <c r="B765" s="5"/>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c r="AG765" s="5"/>
    </row>
    <row r="766" spans="1:33" ht="15.75" customHeight="1" x14ac:dyDescent="0.3">
      <c r="A766" s="5"/>
      <c r="B766" s="5"/>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c r="AG766" s="5"/>
    </row>
    <row r="767" spans="1:33" ht="15.75" customHeight="1" x14ac:dyDescent="0.3">
      <c r="A767" s="5"/>
      <c r="B767" s="5"/>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c r="AG767" s="5"/>
    </row>
    <row r="768" spans="1:33" ht="15.75" customHeight="1" x14ac:dyDescent="0.3">
      <c r="A768" s="5"/>
      <c r="B768" s="5"/>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c r="AG768" s="5"/>
    </row>
    <row r="769" spans="1:33" ht="15.75" customHeight="1" x14ac:dyDescent="0.3">
      <c r="A769" s="5"/>
      <c r="B769" s="5"/>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c r="AG769" s="5"/>
    </row>
    <row r="770" spans="1:33" ht="15.75" customHeight="1" x14ac:dyDescent="0.3">
      <c r="A770" s="5"/>
      <c r="B770" s="5"/>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c r="AG770" s="5"/>
    </row>
    <row r="771" spans="1:33" ht="15.75" customHeight="1" x14ac:dyDescent="0.3">
      <c r="A771" s="5"/>
      <c r="B771" s="5"/>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c r="AG771" s="5"/>
    </row>
    <row r="772" spans="1:33" ht="15.75" customHeight="1" x14ac:dyDescent="0.3">
      <c r="A772" s="5"/>
      <c r="B772" s="5"/>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c r="AG772" s="5"/>
    </row>
    <row r="773" spans="1:33" ht="15.75" customHeight="1" x14ac:dyDescent="0.3">
      <c r="A773" s="5"/>
      <c r="B773" s="5"/>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c r="AG773" s="5"/>
    </row>
    <row r="774" spans="1:33" ht="15.75" customHeight="1" x14ac:dyDescent="0.3">
      <c r="A774" s="5"/>
      <c r="B774" s="5"/>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c r="AG774" s="5"/>
    </row>
    <row r="775" spans="1:33" ht="15.75" customHeight="1" x14ac:dyDescent="0.3">
      <c r="A775" s="5"/>
      <c r="B775" s="5"/>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c r="AG775" s="5"/>
    </row>
    <row r="776" spans="1:33" ht="15.75" customHeight="1" x14ac:dyDescent="0.3">
      <c r="A776" s="5"/>
      <c r="B776" s="5"/>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c r="AG776" s="5"/>
    </row>
    <row r="777" spans="1:33" ht="15.75" customHeight="1" x14ac:dyDescent="0.3">
      <c r="A777" s="5"/>
      <c r="B777" s="5"/>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c r="AG777" s="5"/>
    </row>
    <row r="778" spans="1:33" ht="15.75" customHeight="1" x14ac:dyDescent="0.3">
      <c r="A778" s="5"/>
      <c r="B778" s="5"/>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c r="AG778" s="5"/>
    </row>
    <row r="779" spans="1:33" ht="15.75" customHeight="1" x14ac:dyDescent="0.3">
      <c r="A779" s="5"/>
      <c r="B779" s="5"/>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c r="AG779" s="5"/>
    </row>
    <row r="780" spans="1:33" ht="15.75" customHeight="1" x14ac:dyDescent="0.3">
      <c r="A780" s="5"/>
      <c r="B780" s="5"/>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c r="AG780" s="5"/>
    </row>
    <row r="781" spans="1:33" ht="15.75" customHeight="1" x14ac:dyDescent="0.3">
      <c r="A781" s="5"/>
      <c r="B781" s="5"/>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c r="AG781" s="5"/>
    </row>
    <row r="782" spans="1:33" ht="15.75" customHeight="1" x14ac:dyDescent="0.3">
      <c r="A782" s="5"/>
      <c r="B782" s="5"/>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c r="AG782" s="5"/>
    </row>
    <row r="783" spans="1:33" ht="15.75" customHeight="1" x14ac:dyDescent="0.3">
      <c r="A783" s="5"/>
      <c r="B783" s="5"/>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c r="AG783" s="5"/>
    </row>
    <row r="784" spans="1:33" ht="15.75" customHeight="1" x14ac:dyDescent="0.3">
      <c r="A784" s="5"/>
      <c r="B784" s="5"/>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c r="AG784" s="5"/>
    </row>
    <row r="785" spans="1:33" ht="15.75" customHeight="1" x14ac:dyDescent="0.3">
      <c r="A785" s="5"/>
      <c r="B785" s="5"/>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c r="AG785" s="5"/>
    </row>
    <row r="786" spans="1:33" ht="15.75" customHeight="1" x14ac:dyDescent="0.3">
      <c r="A786" s="5"/>
      <c r="B786" s="5"/>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c r="AG786" s="5"/>
    </row>
    <row r="787" spans="1:33" ht="15.75" customHeight="1" x14ac:dyDescent="0.3">
      <c r="A787" s="5"/>
      <c r="B787" s="5"/>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c r="AG787" s="5"/>
    </row>
    <row r="788" spans="1:33" ht="15.75" customHeight="1" x14ac:dyDescent="0.3">
      <c r="A788" s="5"/>
      <c r="B788" s="5"/>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c r="AG788" s="5"/>
    </row>
    <row r="789" spans="1:33" ht="15.75" customHeight="1" x14ac:dyDescent="0.3">
      <c r="A789" s="5"/>
      <c r="B789" s="5"/>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c r="AG789" s="5"/>
    </row>
    <row r="790" spans="1:33" ht="15.75" customHeight="1" x14ac:dyDescent="0.3">
      <c r="A790" s="5"/>
      <c r="B790" s="5"/>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c r="AG790" s="5"/>
    </row>
    <row r="791" spans="1:33" ht="15.75" customHeight="1" x14ac:dyDescent="0.3">
      <c r="A791" s="5"/>
      <c r="B791" s="5"/>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c r="AG791" s="5"/>
    </row>
    <row r="792" spans="1:33" ht="15.75" customHeight="1" x14ac:dyDescent="0.3">
      <c r="A792" s="5"/>
      <c r="B792" s="5"/>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c r="AG792" s="5"/>
    </row>
    <row r="793" spans="1:33" ht="15.75" customHeight="1" x14ac:dyDescent="0.3">
      <c r="A793" s="5"/>
      <c r="B793" s="5"/>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c r="AG793" s="5"/>
    </row>
    <row r="794" spans="1:33" ht="15.75" customHeight="1" x14ac:dyDescent="0.3">
      <c r="A794" s="5"/>
      <c r="B794" s="5"/>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c r="AG794" s="5"/>
    </row>
    <row r="795" spans="1:33" ht="15.75" customHeight="1" x14ac:dyDescent="0.3">
      <c r="A795" s="5"/>
      <c r="B795" s="5"/>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c r="AG795" s="5"/>
    </row>
    <row r="796" spans="1:33" ht="15.75" customHeight="1" x14ac:dyDescent="0.3">
      <c r="A796" s="5"/>
      <c r="B796" s="5"/>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c r="AG796" s="5"/>
    </row>
    <row r="797" spans="1:33" ht="15.75" customHeight="1" x14ac:dyDescent="0.3">
      <c r="A797" s="5"/>
      <c r="B797" s="5"/>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c r="AG797" s="5"/>
    </row>
    <row r="798" spans="1:33" ht="15.75" customHeight="1" x14ac:dyDescent="0.3">
      <c r="A798" s="5"/>
      <c r="B798" s="5"/>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c r="AG798" s="5"/>
    </row>
    <row r="799" spans="1:33" ht="15.75" customHeight="1" x14ac:dyDescent="0.3">
      <c r="A799" s="5"/>
      <c r="B799" s="5"/>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c r="AG799" s="5"/>
    </row>
    <row r="800" spans="1:33" ht="15.75" customHeight="1" x14ac:dyDescent="0.3">
      <c r="A800" s="5"/>
      <c r="B800" s="5"/>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c r="AG800" s="5"/>
    </row>
    <row r="801" spans="1:33" ht="15.75" customHeight="1" x14ac:dyDescent="0.3">
      <c r="A801" s="5"/>
      <c r="B801" s="5"/>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c r="AG801" s="5"/>
    </row>
    <row r="802" spans="1:33" ht="15.75" customHeight="1" x14ac:dyDescent="0.3">
      <c r="A802" s="5"/>
      <c r="B802" s="5"/>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c r="AG802" s="5"/>
    </row>
    <row r="803" spans="1:33" ht="15.75" customHeight="1" x14ac:dyDescent="0.3">
      <c r="A803" s="5"/>
      <c r="B803" s="5"/>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c r="AG803" s="5"/>
    </row>
    <row r="804" spans="1:33" ht="15.75" customHeight="1" x14ac:dyDescent="0.3">
      <c r="A804" s="5"/>
      <c r="B804" s="5"/>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c r="AG804" s="5"/>
    </row>
    <row r="805" spans="1:33" ht="15.75" customHeight="1" x14ac:dyDescent="0.3">
      <c r="A805" s="5"/>
      <c r="B805" s="5"/>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c r="AG805" s="5"/>
    </row>
    <row r="806" spans="1:33" ht="15.75" customHeight="1" x14ac:dyDescent="0.3">
      <c r="A806" s="5"/>
      <c r="B806" s="5"/>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c r="AG806" s="5"/>
    </row>
    <row r="807" spans="1:33" ht="15.75" customHeight="1" x14ac:dyDescent="0.3">
      <c r="A807" s="5"/>
      <c r="B807" s="5"/>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c r="AG807" s="5"/>
    </row>
    <row r="808" spans="1:33" ht="15.75" customHeight="1" x14ac:dyDescent="0.3">
      <c r="A808" s="5"/>
      <c r="B808" s="5"/>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c r="AG808" s="5"/>
    </row>
    <row r="809" spans="1:33" ht="15.75" customHeight="1" x14ac:dyDescent="0.3">
      <c r="A809" s="5"/>
      <c r="B809" s="5"/>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c r="AG809" s="5"/>
    </row>
    <row r="810" spans="1:33" ht="15.75" customHeight="1" x14ac:dyDescent="0.3">
      <c r="A810" s="5"/>
      <c r="B810" s="5"/>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c r="AG810" s="5"/>
    </row>
    <row r="811" spans="1:33" ht="15.75" customHeight="1" x14ac:dyDescent="0.3">
      <c r="A811" s="5"/>
      <c r="B811" s="5"/>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c r="AG811" s="5"/>
    </row>
    <row r="812" spans="1:33" ht="15.75" customHeight="1" x14ac:dyDescent="0.3">
      <c r="A812" s="5"/>
      <c r="B812" s="5"/>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c r="AG812" s="5"/>
    </row>
    <row r="813" spans="1:33" ht="15.75" customHeight="1" x14ac:dyDescent="0.3">
      <c r="A813" s="5"/>
      <c r="B813" s="5"/>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c r="AG813" s="5"/>
    </row>
    <row r="814" spans="1:33" ht="15.75" customHeight="1" x14ac:dyDescent="0.3">
      <c r="A814" s="5"/>
      <c r="B814" s="5"/>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c r="AG814" s="5"/>
    </row>
    <row r="815" spans="1:33" ht="15.75" customHeight="1" x14ac:dyDescent="0.3">
      <c r="A815" s="5"/>
      <c r="B815" s="5"/>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c r="AG815" s="5"/>
    </row>
    <row r="816" spans="1:33" ht="15.75" customHeight="1" x14ac:dyDescent="0.3">
      <c r="A816" s="5"/>
      <c r="B816" s="5"/>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c r="AG816" s="5"/>
    </row>
    <row r="817" spans="1:33" ht="15.75" customHeight="1" x14ac:dyDescent="0.3">
      <c r="A817" s="5"/>
      <c r="B817" s="5"/>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c r="AG817" s="5"/>
    </row>
    <row r="818" spans="1:33" ht="15.75" customHeight="1" x14ac:dyDescent="0.3">
      <c r="A818" s="5"/>
      <c r="B818" s="5"/>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c r="AG818" s="5"/>
    </row>
    <row r="819" spans="1:33" ht="15.75" customHeight="1" x14ac:dyDescent="0.3">
      <c r="A819" s="5"/>
      <c r="B819" s="5"/>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c r="AG819" s="5"/>
    </row>
    <row r="820" spans="1:33" ht="15.75" customHeight="1" x14ac:dyDescent="0.3">
      <c r="A820" s="5"/>
      <c r="B820" s="5"/>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c r="AG820" s="5"/>
    </row>
    <row r="821" spans="1:33" ht="15.75" customHeight="1" x14ac:dyDescent="0.3">
      <c r="A821" s="5"/>
      <c r="B821" s="5"/>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c r="AG821" s="5"/>
    </row>
    <row r="822" spans="1:33" ht="15.75" customHeight="1" x14ac:dyDescent="0.3">
      <c r="A822" s="5"/>
      <c r="B822" s="5"/>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c r="AG822" s="5"/>
    </row>
    <row r="823" spans="1:33" ht="15.75" customHeight="1" x14ac:dyDescent="0.3">
      <c r="A823" s="5"/>
      <c r="B823" s="5"/>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c r="AG823" s="5"/>
    </row>
    <row r="824" spans="1:33" ht="15.75" customHeight="1" x14ac:dyDescent="0.3">
      <c r="A824" s="5"/>
      <c r="B824" s="5"/>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c r="AG824" s="5"/>
    </row>
    <row r="825" spans="1:33" ht="15.75" customHeight="1" x14ac:dyDescent="0.3">
      <c r="A825" s="5"/>
      <c r="B825" s="5"/>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c r="AG825" s="5"/>
    </row>
    <row r="826" spans="1:33" ht="15.75" customHeight="1" x14ac:dyDescent="0.3">
      <c r="A826" s="5"/>
      <c r="B826" s="5"/>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c r="AG826" s="5"/>
    </row>
    <row r="827" spans="1:33" ht="15.75" customHeight="1" x14ac:dyDescent="0.3">
      <c r="A827" s="5"/>
      <c r="B827" s="5"/>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c r="AG827" s="5"/>
    </row>
    <row r="828" spans="1:33" ht="15.75" customHeight="1" x14ac:dyDescent="0.3">
      <c r="A828" s="5"/>
      <c r="B828" s="5"/>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c r="AG828" s="5"/>
    </row>
    <row r="829" spans="1:33" ht="15.75" customHeight="1" x14ac:dyDescent="0.3">
      <c r="A829" s="5"/>
      <c r="B829" s="5"/>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c r="AG829" s="5"/>
    </row>
    <row r="830" spans="1:33" ht="15.75" customHeight="1" x14ac:dyDescent="0.3">
      <c r="A830" s="5"/>
      <c r="B830" s="5"/>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c r="AG830" s="5"/>
    </row>
    <row r="831" spans="1:33" ht="15.75" customHeight="1" x14ac:dyDescent="0.3">
      <c r="A831" s="5"/>
      <c r="B831" s="5"/>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c r="AG831" s="5"/>
    </row>
    <row r="832" spans="1:33" ht="15.75" customHeight="1" x14ac:dyDescent="0.3">
      <c r="A832" s="5"/>
      <c r="B832" s="5"/>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c r="AG832" s="5"/>
    </row>
    <row r="833" spans="1:33" ht="15.75" customHeight="1" x14ac:dyDescent="0.3">
      <c r="A833" s="5"/>
      <c r="B833" s="5"/>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c r="AG833" s="5"/>
    </row>
    <row r="834" spans="1:33" ht="15.75" customHeight="1" x14ac:dyDescent="0.3">
      <c r="A834" s="5"/>
      <c r="B834" s="5"/>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c r="AG834" s="5"/>
    </row>
    <row r="835" spans="1:33" ht="15.75" customHeight="1" x14ac:dyDescent="0.3">
      <c r="A835" s="5"/>
      <c r="B835" s="5"/>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c r="AG835" s="5"/>
    </row>
    <row r="836" spans="1:33" ht="15.75" customHeight="1" x14ac:dyDescent="0.3">
      <c r="A836" s="5"/>
      <c r="B836" s="5"/>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c r="AG836" s="5"/>
    </row>
    <row r="837" spans="1:33" ht="15.75" customHeight="1" x14ac:dyDescent="0.3">
      <c r="A837" s="5"/>
      <c r="B837" s="5"/>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c r="AG837" s="5"/>
    </row>
    <row r="838" spans="1:33" ht="15.75" customHeight="1" x14ac:dyDescent="0.3">
      <c r="A838" s="5"/>
      <c r="B838" s="5"/>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c r="AG838" s="5"/>
    </row>
    <row r="839" spans="1:33" ht="15.75" customHeight="1" x14ac:dyDescent="0.3">
      <c r="A839" s="5"/>
      <c r="B839" s="5"/>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c r="AG839" s="5"/>
    </row>
    <row r="840" spans="1:33" ht="15.75" customHeight="1" x14ac:dyDescent="0.3">
      <c r="A840" s="5"/>
      <c r="B840" s="5"/>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c r="AG840" s="5"/>
    </row>
    <row r="841" spans="1:33" ht="15.75" customHeight="1" x14ac:dyDescent="0.3">
      <c r="A841" s="5"/>
      <c r="B841" s="5"/>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c r="AG841" s="5"/>
    </row>
    <row r="842" spans="1:33" ht="15.75" customHeight="1" x14ac:dyDescent="0.3">
      <c r="A842" s="5"/>
      <c r="B842" s="5"/>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c r="AG842" s="5"/>
    </row>
    <row r="843" spans="1:33" ht="15.75" customHeight="1" x14ac:dyDescent="0.3">
      <c r="A843" s="5"/>
      <c r="B843" s="5"/>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c r="AG843" s="5"/>
    </row>
    <row r="844" spans="1:33" ht="15.75" customHeight="1" x14ac:dyDescent="0.3">
      <c r="A844" s="5"/>
      <c r="B844" s="5"/>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c r="AG844" s="5"/>
    </row>
    <row r="845" spans="1:33" ht="15.75" customHeight="1" x14ac:dyDescent="0.3">
      <c r="A845" s="5"/>
      <c r="B845" s="5"/>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c r="AG845" s="5"/>
    </row>
    <row r="846" spans="1:33" ht="15.75" customHeight="1" x14ac:dyDescent="0.3">
      <c r="A846" s="5"/>
      <c r="B846" s="5"/>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c r="AG846" s="5"/>
    </row>
    <row r="847" spans="1:33" ht="15.75" customHeight="1" x14ac:dyDescent="0.3">
      <c r="A847" s="5"/>
      <c r="B847" s="5"/>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c r="AG847" s="5"/>
    </row>
    <row r="848" spans="1:33" ht="15.75" customHeight="1" x14ac:dyDescent="0.3">
      <c r="A848" s="5"/>
      <c r="B848" s="5"/>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c r="AG848" s="5"/>
    </row>
    <row r="849" spans="1:33" ht="15.75" customHeight="1" x14ac:dyDescent="0.3">
      <c r="A849" s="5"/>
      <c r="B849" s="5"/>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c r="AG849" s="5"/>
    </row>
    <row r="850" spans="1:33" ht="15.75" customHeight="1" x14ac:dyDescent="0.3">
      <c r="A850" s="5"/>
      <c r="B850" s="5"/>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c r="AG850" s="5"/>
    </row>
    <row r="851" spans="1:33" ht="15.75" customHeight="1" x14ac:dyDescent="0.3">
      <c r="A851" s="5"/>
      <c r="B851" s="5"/>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c r="AG851" s="5"/>
    </row>
    <row r="852" spans="1:33" ht="15.75" customHeight="1" x14ac:dyDescent="0.3">
      <c r="A852" s="5"/>
      <c r="B852" s="5"/>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c r="AG852" s="5"/>
    </row>
    <row r="853" spans="1:33" ht="15.75" customHeight="1" x14ac:dyDescent="0.3">
      <c r="A853" s="5"/>
      <c r="B853" s="5"/>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c r="AG853" s="5"/>
    </row>
    <row r="854" spans="1:33" ht="15.75" customHeight="1" x14ac:dyDescent="0.3">
      <c r="A854" s="5"/>
      <c r="B854" s="5"/>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c r="AG854" s="5"/>
    </row>
    <row r="855" spans="1:33" ht="15.75" customHeight="1" x14ac:dyDescent="0.3">
      <c r="A855" s="5"/>
      <c r="B855" s="5"/>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c r="AG855" s="5"/>
    </row>
    <row r="856" spans="1:33" ht="15.75" customHeight="1" x14ac:dyDescent="0.3">
      <c r="A856" s="5"/>
      <c r="B856" s="5"/>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c r="AG856" s="5"/>
    </row>
    <row r="857" spans="1:33" ht="15.75" customHeight="1" x14ac:dyDescent="0.3">
      <c r="A857" s="5"/>
      <c r="B857" s="5"/>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c r="AG857" s="5"/>
    </row>
    <row r="858" spans="1:33" ht="15.75" customHeight="1" x14ac:dyDescent="0.3">
      <c r="A858" s="5"/>
      <c r="B858" s="5"/>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c r="AG858" s="5"/>
    </row>
    <row r="859" spans="1:33" ht="15.75" customHeight="1" x14ac:dyDescent="0.3">
      <c r="A859" s="5"/>
      <c r="B859" s="5"/>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c r="AG859" s="5"/>
    </row>
    <row r="860" spans="1:33" ht="15.75" customHeight="1" x14ac:dyDescent="0.3">
      <c r="A860" s="5"/>
      <c r="B860" s="5"/>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c r="AG860" s="5"/>
    </row>
    <row r="861" spans="1:33" ht="15.75" customHeight="1" x14ac:dyDescent="0.3">
      <c r="A861" s="5"/>
      <c r="B861" s="5"/>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c r="AG861" s="5"/>
    </row>
    <row r="862" spans="1:33" ht="15.75" customHeight="1" x14ac:dyDescent="0.3">
      <c r="A862" s="5"/>
      <c r="B862" s="5"/>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c r="AG862" s="5"/>
    </row>
    <row r="863" spans="1:33" ht="15.75" customHeight="1" x14ac:dyDescent="0.3">
      <c r="A863" s="5"/>
      <c r="B863" s="5"/>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c r="AG863" s="5"/>
    </row>
    <row r="864" spans="1:33" ht="15.75" customHeight="1" x14ac:dyDescent="0.3">
      <c r="A864" s="5"/>
      <c r="B864" s="5"/>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c r="AG864" s="5"/>
    </row>
    <row r="865" spans="1:33" ht="15.75" customHeight="1" x14ac:dyDescent="0.3">
      <c r="A865" s="5"/>
      <c r="B865" s="5"/>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c r="AG865" s="5"/>
    </row>
    <row r="866" spans="1:33" ht="15.75" customHeight="1" x14ac:dyDescent="0.3">
      <c r="A866" s="5"/>
      <c r="B866" s="5"/>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c r="AG866" s="5"/>
    </row>
    <row r="867" spans="1:33" ht="15.75" customHeight="1" x14ac:dyDescent="0.3">
      <c r="A867" s="5"/>
      <c r="B867" s="5"/>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c r="AG867" s="5"/>
    </row>
    <row r="868" spans="1:33" ht="15.75" customHeight="1" x14ac:dyDescent="0.3">
      <c r="A868" s="5"/>
      <c r="B868" s="5"/>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c r="AG868" s="5"/>
    </row>
    <row r="869" spans="1:33" ht="15.75" customHeight="1" x14ac:dyDescent="0.3">
      <c r="A869" s="5"/>
      <c r="B869" s="5"/>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c r="AG869" s="5"/>
    </row>
    <row r="870" spans="1:33" ht="15.75" customHeight="1" x14ac:dyDescent="0.3">
      <c r="A870" s="5"/>
      <c r="B870" s="5"/>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c r="AG870" s="5"/>
    </row>
    <row r="871" spans="1:33" ht="15.75" customHeight="1" x14ac:dyDescent="0.3">
      <c r="A871" s="5"/>
      <c r="B871" s="5"/>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c r="AG871" s="5"/>
    </row>
    <row r="872" spans="1:33" ht="15.75" customHeight="1" x14ac:dyDescent="0.3">
      <c r="A872" s="5"/>
      <c r="B872" s="5"/>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c r="AG872" s="5"/>
    </row>
    <row r="873" spans="1:33" ht="15.75" customHeight="1" x14ac:dyDescent="0.3">
      <c r="A873" s="5"/>
      <c r="B873" s="5"/>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c r="AG873" s="5"/>
    </row>
    <row r="874" spans="1:33" ht="15.75" customHeight="1" x14ac:dyDescent="0.3">
      <c r="A874" s="5"/>
      <c r="B874" s="5"/>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c r="AG874" s="5"/>
    </row>
    <row r="875" spans="1:33" ht="15.75" customHeight="1" x14ac:dyDescent="0.3">
      <c r="A875" s="5"/>
      <c r="B875" s="5"/>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c r="AG875" s="5"/>
    </row>
    <row r="876" spans="1:33" ht="15.75" customHeight="1" x14ac:dyDescent="0.3">
      <c r="A876" s="5"/>
      <c r="B876" s="5"/>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c r="AG876" s="5"/>
    </row>
    <row r="877" spans="1:33" ht="15.75" customHeight="1" x14ac:dyDescent="0.3">
      <c r="A877" s="5"/>
      <c r="B877" s="5"/>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c r="AG877" s="5"/>
    </row>
    <row r="878" spans="1:33" ht="15.75" customHeight="1" x14ac:dyDescent="0.3">
      <c r="A878" s="5"/>
      <c r="B878" s="5"/>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c r="AG878" s="5"/>
    </row>
    <row r="879" spans="1:33" ht="15.75" customHeight="1" x14ac:dyDescent="0.3">
      <c r="A879" s="5"/>
      <c r="B879" s="5"/>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c r="AG879" s="5"/>
    </row>
    <row r="880" spans="1:33" ht="15.75" customHeight="1" x14ac:dyDescent="0.3">
      <c r="A880" s="5"/>
      <c r="B880" s="5"/>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c r="AG880" s="5"/>
    </row>
    <row r="881" spans="1:33" ht="15.75" customHeight="1" x14ac:dyDescent="0.3">
      <c r="A881" s="5"/>
      <c r="B881" s="5"/>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c r="AG881" s="5"/>
    </row>
    <row r="882" spans="1:33" ht="15.75" customHeight="1" x14ac:dyDescent="0.3">
      <c r="A882" s="5"/>
      <c r="B882" s="5"/>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c r="AG882" s="5"/>
    </row>
    <row r="883" spans="1:33" ht="15.75" customHeight="1" x14ac:dyDescent="0.3">
      <c r="A883" s="5"/>
      <c r="B883" s="5"/>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c r="AG883" s="5"/>
    </row>
    <row r="884" spans="1:33" ht="15.75" customHeight="1" x14ac:dyDescent="0.3">
      <c r="A884" s="5"/>
      <c r="B884" s="5"/>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c r="AG884" s="5"/>
    </row>
    <row r="885" spans="1:33" ht="15.75" customHeight="1" x14ac:dyDescent="0.3">
      <c r="A885" s="5"/>
      <c r="B885" s="5"/>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c r="AG885" s="5"/>
    </row>
    <row r="886" spans="1:33" ht="15.75" customHeight="1" x14ac:dyDescent="0.3">
      <c r="A886" s="5"/>
      <c r="B886" s="5"/>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c r="AG886" s="5"/>
    </row>
    <row r="887" spans="1:33" ht="15.75" customHeight="1" x14ac:dyDescent="0.3">
      <c r="A887" s="5"/>
      <c r="B887" s="5"/>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c r="AG887" s="5"/>
    </row>
    <row r="888" spans="1:33" ht="15.75" customHeight="1" x14ac:dyDescent="0.3">
      <c r="A888" s="5"/>
      <c r="B888" s="5"/>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c r="AG888" s="5"/>
    </row>
    <row r="889" spans="1:33" ht="15.75" customHeight="1" x14ac:dyDescent="0.3">
      <c r="A889" s="5"/>
      <c r="B889" s="5"/>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c r="AG889" s="5"/>
    </row>
    <row r="890" spans="1:33" ht="15.75" customHeight="1" x14ac:dyDescent="0.3">
      <c r="A890" s="5"/>
      <c r="B890" s="5"/>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c r="AG890" s="5"/>
    </row>
    <row r="891" spans="1:33" ht="15.75" customHeight="1" x14ac:dyDescent="0.3">
      <c r="A891" s="5"/>
      <c r="B891" s="5"/>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c r="AG891" s="5"/>
    </row>
    <row r="892" spans="1:33" ht="15.75" customHeight="1" x14ac:dyDescent="0.3">
      <c r="A892" s="5"/>
      <c r="B892" s="5"/>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c r="AG892" s="5"/>
    </row>
    <row r="893" spans="1:33" ht="15.75" customHeight="1" x14ac:dyDescent="0.3">
      <c r="A893" s="5"/>
      <c r="B893" s="5"/>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c r="AG893" s="5"/>
    </row>
    <row r="894" spans="1:33" ht="15.75" customHeight="1" x14ac:dyDescent="0.3">
      <c r="A894" s="5"/>
      <c r="B894" s="5"/>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c r="AG894" s="5"/>
    </row>
    <row r="895" spans="1:33" ht="15.75" customHeight="1" x14ac:dyDescent="0.3">
      <c r="A895" s="5"/>
      <c r="B895" s="5"/>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c r="AG895" s="5"/>
    </row>
    <row r="896" spans="1:33" ht="15.75" customHeight="1" x14ac:dyDescent="0.3">
      <c r="A896" s="5"/>
      <c r="B896" s="5"/>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c r="AG896" s="5"/>
    </row>
    <row r="897" spans="1:33" ht="15.75" customHeight="1" x14ac:dyDescent="0.3">
      <c r="A897" s="5"/>
      <c r="B897" s="5"/>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c r="AG897" s="5"/>
    </row>
    <row r="898" spans="1:33" ht="15.75" customHeight="1" x14ac:dyDescent="0.3">
      <c r="A898" s="5"/>
      <c r="B898" s="5"/>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c r="AG898" s="5"/>
    </row>
    <row r="899" spans="1:33" ht="15.75" customHeight="1" x14ac:dyDescent="0.3">
      <c r="A899" s="5"/>
      <c r="B899" s="5"/>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c r="AG899" s="5"/>
    </row>
    <row r="900" spans="1:33" ht="15.75" customHeight="1" x14ac:dyDescent="0.3">
      <c r="A900" s="5"/>
      <c r="B900" s="5"/>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c r="AG900" s="5"/>
    </row>
    <row r="901" spans="1:33" ht="15.75" customHeight="1" x14ac:dyDescent="0.3">
      <c r="A901" s="5"/>
      <c r="B901" s="5"/>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c r="AG901" s="5"/>
    </row>
    <row r="902" spans="1:33" ht="15.75" customHeight="1" x14ac:dyDescent="0.3">
      <c r="A902" s="5"/>
      <c r="B902" s="5"/>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c r="AG902" s="5"/>
    </row>
    <row r="903" spans="1:33" ht="15.75" customHeight="1" x14ac:dyDescent="0.3">
      <c r="A903" s="5"/>
      <c r="B903" s="5"/>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c r="AG903" s="5"/>
    </row>
    <row r="904" spans="1:33" ht="15.75" customHeight="1" x14ac:dyDescent="0.3">
      <c r="A904" s="5"/>
      <c r="B904" s="5"/>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c r="AG904" s="5"/>
    </row>
    <row r="905" spans="1:33" ht="15.75" customHeight="1" x14ac:dyDescent="0.3">
      <c r="A905" s="5"/>
      <c r="B905" s="5"/>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c r="AG905" s="5"/>
    </row>
    <row r="906" spans="1:33" ht="15.75" customHeight="1" x14ac:dyDescent="0.3">
      <c r="A906" s="5"/>
      <c r="B906" s="5"/>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c r="AG906" s="5"/>
    </row>
    <row r="907" spans="1:33" ht="15.75" customHeight="1" x14ac:dyDescent="0.3">
      <c r="A907" s="5"/>
      <c r="B907" s="5"/>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c r="AG907" s="5"/>
    </row>
    <row r="908" spans="1:33" ht="15.75" customHeight="1" x14ac:dyDescent="0.3">
      <c r="A908" s="5"/>
      <c r="B908" s="5"/>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c r="AG908" s="5"/>
    </row>
    <row r="909" spans="1:33" ht="15.75" customHeight="1" x14ac:dyDescent="0.3">
      <c r="A909" s="5"/>
      <c r="B909" s="5"/>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c r="AG909" s="5"/>
    </row>
    <row r="910" spans="1:33" ht="15.75" customHeight="1" x14ac:dyDescent="0.3">
      <c r="A910" s="5"/>
      <c r="B910" s="5"/>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c r="AG910" s="5"/>
    </row>
    <row r="911" spans="1:33" ht="15.75" customHeight="1" x14ac:dyDescent="0.3">
      <c r="A911" s="5"/>
      <c r="B911" s="5"/>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c r="AG911" s="5"/>
    </row>
    <row r="912" spans="1:33" ht="15.75" customHeight="1" x14ac:dyDescent="0.3">
      <c r="A912" s="5"/>
      <c r="B912" s="5"/>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c r="AG912" s="5"/>
    </row>
    <row r="913" spans="1:33" ht="15.75" customHeight="1" x14ac:dyDescent="0.3">
      <c r="A913" s="5"/>
      <c r="B913" s="5"/>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c r="AG913" s="5"/>
    </row>
    <row r="914" spans="1:33" ht="15.75" customHeight="1" x14ac:dyDescent="0.3">
      <c r="A914" s="5"/>
      <c r="B914" s="5"/>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c r="AG914" s="5"/>
    </row>
    <row r="915" spans="1:33" ht="15.75" customHeight="1" x14ac:dyDescent="0.3">
      <c r="A915" s="5"/>
      <c r="B915" s="5"/>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c r="AG915" s="5"/>
    </row>
    <row r="916" spans="1:33" ht="15.75" customHeight="1" x14ac:dyDescent="0.3">
      <c r="A916" s="5"/>
      <c r="B916" s="5"/>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c r="AG916" s="5"/>
    </row>
    <row r="917" spans="1:33" ht="15.75" customHeight="1" x14ac:dyDescent="0.3">
      <c r="A917" s="5"/>
      <c r="B917" s="5"/>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c r="AG917" s="5"/>
    </row>
    <row r="918" spans="1:33" ht="15.75" customHeight="1" x14ac:dyDescent="0.3">
      <c r="A918" s="5"/>
      <c r="B918" s="5"/>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c r="AG918" s="5"/>
    </row>
    <row r="919" spans="1:33" ht="15.75" customHeight="1" x14ac:dyDescent="0.3">
      <c r="A919" s="5"/>
      <c r="B919" s="5"/>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c r="AG919" s="5"/>
    </row>
    <row r="920" spans="1:33" ht="15.75" customHeight="1" x14ac:dyDescent="0.3">
      <c r="A920" s="5"/>
      <c r="B920" s="5"/>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c r="AG920" s="5"/>
    </row>
    <row r="921" spans="1:33" ht="15.75" customHeight="1" x14ac:dyDescent="0.3">
      <c r="A921" s="5"/>
      <c r="B921" s="5"/>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c r="AG921" s="5"/>
    </row>
    <row r="922" spans="1:33" ht="15.75" customHeight="1" x14ac:dyDescent="0.3">
      <c r="A922" s="5"/>
      <c r="B922" s="5"/>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c r="AG922" s="5"/>
    </row>
    <row r="923" spans="1:33" ht="15.75" customHeight="1" x14ac:dyDescent="0.3">
      <c r="A923" s="5"/>
      <c r="B923" s="5"/>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c r="AG923" s="5"/>
    </row>
    <row r="924" spans="1:33" ht="15.75" customHeight="1" x14ac:dyDescent="0.3">
      <c r="A924" s="5"/>
      <c r="B924" s="5"/>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c r="AG924" s="5"/>
    </row>
    <row r="925" spans="1:33" ht="15.75" customHeight="1" x14ac:dyDescent="0.3">
      <c r="A925" s="5"/>
      <c r="B925" s="5"/>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c r="AG925" s="5"/>
    </row>
    <row r="926" spans="1:33" ht="15.75" customHeight="1" x14ac:dyDescent="0.3">
      <c r="A926" s="5"/>
      <c r="B926" s="5"/>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c r="AG926" s="5"/>
    </row>
    <row r="927" spans="1:33" ht="15.75" customHeight="1" x14ac:dyDescent="0.3">
      <c r="A927" s="5"/>
      <c r="B927" s="5"/>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c r="AG927" s="5"/>
    </row>
    <row r="928" spans="1:33" ht="15.75" customHeight="1" x14ac:dyDescent="0.3">
      <c r="A928" s="5"/>
      <c r="B928" s="5"/>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c r="AG928" s="5"/>
    </row>
    <row r="929" spans="1:33" ht="15.75" customHeight="1" x14ac:dyDescent="0.3">
      <c r="A929" s="5"/>
      <c r="B929" s="5"/>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c r="AG929" s="5"/>
    </row>
    <row r="930" spans="1:33" ht="15.75" customHeight="1" x14ac:dyDescent="0.3">
      <c r="A930" s="5"/>
      <c r="B930" s="5"/>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c r="AG930" s="5"/>
    </row>
    <row r="931" spans="1:33" ht="15.75" customHeight="1" x14ac:dyDescent="0.3">
      <c r="A931" s="5"/>
      <c r="B931" s="5"/>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c r="AG931" s="5"/>
    </row>
    <row r="932" spans="1:33" ht="15.75" customHeight="1" x14ac:dyDescent="0.3">
      <c r="A932" s="5"/>
      <c r="B932" s="5"/>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c r="AG932" s="5"/>
    </row>
    <row r="933" spans="1:33" ht="15.75" customHeight="1" x14ac:dyDescent="0.3">
      <c r="A933" s="5"/>
      <c r="B933" s="5"/>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c r="AG933" s="5"/>
    </row>
    <row r="934" spans="1:33" ht="15.75" customHeight="1" x14ac:dyDescent="0.3">
      <c r="A934" s="5"/>
      <c r="B934" s="5"/>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c r="AG934" s="5"/>
    </row>
    <row r="935" spans="1:33" ht="15.75" customHeight="1" x14ac:dyDescent="0.3">
      <c r="A935" s="5"/>
      <c r="B935" s="5"/>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c r="AG935" s="5"/>
    </row>
    <row r="936" spans="1:33" ht="15.75" customHeight="1" x14ac:dyDescent="0.3">
      <c r="A936" s="5"/>
      <c r="B936" s="5"/>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c r="AG936" s="5"/>
    </row>
    <row r="937" spans="1:33" ht="15.75" customHeight="1" x14ac:dyDescent="0.3">
      <c r="A937" s="5"/>
      <c r="B937" s="5"/>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c r="AG937" s="5"/>
    </row>
    <row r="938" spans="1:33" ht="15.75" customHeight="1" x14ac:dyDescent="0.3">
      <c r="A938" s="5"/>
      <c r="B938" s="5"/>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c r="AG938" s="5"/>
    </row>
    <row r="939" spans="1:33" ht="15.75" customHeight="1" x14ac:dyDescent="0.3">
      <c r="A939" s="5"/>
      <c r="B939" s="5"/>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c r="AG939" s="5"/>
    </row>
    <row r="940" spans="1:33" ht="15.75" customHeight="1" x14ac:dyDescent="0.3">
      <c r="A940" s="5"/>
      <c r="B940" s="5"/>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c r="AG940" s="5"/>
    </row>
    <row r="941" spans="1:33" ht="15.75" customHeight="1" x14ac:dyDescent="0.3">
      <c r="A941" s="5"/>
      <c r="B941" s="5"/>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c r="AG941" s="5"/>
    </row>
    <row r="942" spans="1:33" ht="15.75" customHeight="1" x14ac:dyDescent="0.3">
      <c r="A942" s="5"/>
      <c r="B942" s="5"/>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c r="AG942" s="5"/>
    </row>
    <row r="943" spans="1:33" ht="15.75" customHeight="1" x14ac:dyDescent="0.3">
      <c r="A943" s="5"/>
      <c r="B943" s="5"/>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c r="AG943" s="5"/>
    </row>
    <row r="944" spans="1:33" ht="15.75" customHeight="1" x14ac:dyDescent="0.3">
      <c r="A944" s="5"/>
      <c r="B944" s="5"/>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c r="AG944" s="5"/>
    </row>
    <row r="945" spans="1:33" ht="15.75" customHeight="1" x14ac:dyDescent="0.3">
      <c r="A945" s="5"/>
      <c r="B945" s="5"/>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c r="AG945" s="5"/>
    </row>
    <row r="946" spans="1:33" ht="15.75" customHeight="1" x14ac:dyDescent="0.3">
      <c r="A946" s="5"/>
      <c r="B946" s="5"/>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c r="AG946" s="5"/>
    </row>
    <row r="947" spans="1:33" ht="15.75" customHeight="1" x14ac:dyDescent="0.3">
      <c r="A947" s="5"/>
      <c r="B947" s="5"/>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c r="AG947" s="5"/>
    </row>
    <row r="948" spans="1:33" ht="15.75" customHeight="1" x14ac:dyDescent="0.3">
      <c r="A948" s="5"/>
      <c r="B948" s="5"/>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c r="AG948" s="5"/>
    </row>
    <row r="949" spans="1:33" ht="15.75" customHeight="1" x14ac:dyDescent="0.3">
      <c r="A949" s="5"/>
      <c r="B949" s="5"/>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c r="AG949" s="5"/>
    </row>
    <row r="950" spans="1:33" ht="15.75" customHeight="1" x14ac:dyDescent="0.3">
      <c r="A950" s="5"/>
      <c r="B950" s="5"/>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c r="AG950" s="5"/>
    </row>
    <row r="951" spans="1:33" ht="15.75" customHeight="1" x14ac:dyDescent="0.3">
      <c r="A951" s="5"/>
      <c r="B951" s="5"/>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c r="AG951" s="5"/>
    </row>
    <row r="952" spans="1:33" ht="15.75" customHeight="1" x14ac:dyDescent="0.3">
      <c r="A952" s="5"/>
      <c r="B952" s="5"/>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c r="AG952" s="5"/>
    </row>
    <row r="953" spans="1:33" ht="15.75" customHeight="1" x14ac:dyDescent="0.3">
      <c r="A953" s="5"/>
      <c r="B953" s="5"/>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c r="AG953" s="5"/>
    </row>
    <row r="954" spans="1:33" ht="15.75" customHeight="1" x14ac:dyDescent="0.3">
      <c r="A954" s="5"/>
      <c r="B954" s="5"/>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c r="AG954" s="5"/>
    </row>
    <row r="955" spans="1:33" ht="15.75" customHeight="1" x14ac:dyDescent="0.3">
      <c r="A955" s="5"/>
      <c r="B955" s="5"/>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c r="AG955" s="5"/>
    </row>
    <row r="956" spans="1:33" ht="15.75" customHeight="1" x14ac:dyDescent="0.3">
      <c r="A956" s="5"/>
      <c r="B956" s="5"/>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c r="AG956" s="5"/>
    </row>
    <row r="957" spans="1:33" ht="15.75" customHeight="1" x14ac:dyDescent="0.3">
      <c r="A957" s="5"/>
      <c r="B957" s="5"/>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c r="AG957" s="5"/>
    </row>
    <row r="958" spans="1:33" ht="15.75" customHeight="1" x14ac:dyDescent="0.3">
      <c r="A958" s="5"/>
      <c r="B958" s="5"/>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c r="AG958" s="5"/>
    </row>
    <row r="959" spans="1:33" ht="15.75" customHeight="1" x14ac:dyDescent="0.3">
      <c r="A959" s="5"/>
      <c r="B959" s="5"/>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c r="AG959" s="5"/>
    </row>
    <row r="960" spans="1:33" ht="15.75" customHeight="1" x14ac:dyDescent="0.3">
      <c r="A960" s="5"/>
      <c r="B960" s="5"/>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c r="AG960" s="5"/>
    </row>
    <row r="961" spans="1:33" ht="15.75" customHeight="1" x14ac:dyDescent="0.3">
      <c r="A961" s="5"/>
      <c r="B961" s="5"/>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c r="AG961" s="5"/>
    </row>
    <row r="962" spans="1:33" ht="15.75" customHeight="1" x14ac:dyDescent="0.3">
      <c r="A962" s="5"/>
      <c r="B962" s="5"/>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c r="AG962" s="5"/>
    </row>
    <row r="963" spans="1:33" ht="15.75" customHeight="1" x14ac:dyDescent="0.3">
      <c r="A963" s="5"/>
      <c r="B963" s="5"/>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c r="AG963" s="5"/>
    </row>
    <row r="964" spans="1:33" ht="15.75" customHeight="1" x14ac:dyDescent="0.3">
      <c r="A964" s="5"/>
      <c r="B964" s="5"/>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c r="AG964" s="5"/>
    </row>
    <row r="965" spans="1:33" ht="15.75" customHeight="1" x14ac:dyDescent="0.3">
      <c r="A965" s="5"/>
      <c r="B965" s="5"/>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c r="AG965" s="5"/>
    </row>
    <row r="966" spans="1:33" ht="15.75" customHeight="1" x14ac:dyDescent="0.3">
      <c r="A966" s="5"/>
      <c r="B966" s="5"/>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c r="AG966" s="5"/>
    </row>
    <row r="967" spans="1:33" ht="15.75" customHeight="1" x14ac:dyDescent="0.3">
      <c r="A967" s="5"/>
      <c r="B967" s="5"/>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c r="AG967" s="5"/>
    </row>
    <row r="968" spans="1:33" ht="15.75" customHeight="1" x14ac:dyDescent="0.3">
      <c r="A968" s="5"/>
      <c r="B968" s="5"/>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c r="AG968" s="5"/>
    </row>
    <row r="969" spans="1:33" ht="15.75" customHeight="1" x14ac:dyDescent="0.3">
      <c r="A969" s="5"/>
      <c r="B969" s="5"/>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c r="AG969" s="5"/>
    </row>
    <row r="970" spans="1:33" ht="15.75" customHeight="1" x14ac:dyDescent="0.3">
      <c r="A970" s="5"/>
      <c r="B970" s="5"/>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c r="AG970" s="5"/>
    </row>
    <row r="971" spans="1:33" ht="15.75" customHeight="1" x14ac:dyDescent="0.3">
      <c r="A971" s="5"/>
      <c r="B971" s="5"/>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c r="AG971" s="5"/>
    </row>
    <row r="972" spans="1:33" ht="15.75" customHeight="1" x14ac:dyDescent="0.3">
      <c r="A972" s="5"/>
      <c r="B972" s="5"/>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c r="AG972" s="5"/>
    </row>
    <row r="973" spans="1:33" ht="15.75" customHeight="1" x14ac:dyDescent="0.3">
      <c r="A973" s="5"/>
      <c r="B973" s="5"/>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c r="AG973" s="5"/>
    </row>
    <row r="974" spans="1:33" ht="15.75" customHeight="1" x14ac:dyDescent="0.3">
      <c r="A974" s="5"/>
      <c r="B974" s="5"/>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c r="AG974" s="5"/>
    </row>
    <row r="975" spans="1:33" ht="15.75" customHeight="1" x14ac:dyDescent="0.3">
      <c r="A975" s="5"/>
      <c r="B975" s="5"/>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c r="AG975" s="5"/>
    </row>
    <row r="976" spans="1:33" ht="15.75" customHeight="1" x14ac:dyDescent="0.3">
      <c r="A976" s="5"/>
      <c r="B976" s="5"/>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c r="AG976" s="5"/>
    </row>
    <row r="977" spans="1:33" ht="15.75" customHeight="1" x14ac:dyDescent="0.3">
      <c r="A977" s="5"/>
      <c r="B977" s="5"/>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c r="AG977" s="5"/>
    </row>
    <row r="978" spans="1:33" ht="15.75" customHeight="1" x14ac:dyDescent="0.3">
      <c r="A978" s="5"/>
      <c r="B978" s="5"/>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c r="AG978" s="5"/>
    </row>
    <row r="979" spans="1:33" ht="15.75" customHeight="1" x14ac:dyDescent="0.3">
      <c r="A979" s="5"/>
      <c r="B979" s="5"/>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c r="AG979" s="5"/>
    </row>
    <row r="980" spans="1:33" ht="15.75" customHeight="1" x14ac:dyDescent="0.3">
      <c r="A980" s="5"/>
      <c r="B980" s="5"/>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c r="AG980" s="5"/>
    </row>
    <row r="981" spans="1:33" ht="15.75" customHeight="1" x14ac:dyDescent="0.3">
      <c r="A981" s="5"/>
      <c r="B981" s="5"/>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c r="AG981" s="5"/>
    </row>
    <row r="982" spans="1:33" ht="15.75" customHeight="1" x14ac:dyDescent="0.3">
      <c r="A982" s="5"/>
      <c r="B982" s="5"/>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c r="AG982" s="5"/>
    </row>
    <row r="983" spans="1:33" ht="15.75" customHeight="1" x14ac:dyDescent="0.3">
      <c r="A983" s="5"/>
      <c r="B983" s="5"/>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c r="AG983" s="5"/>
    </row>
    <row r="984" spans="1:33" ht="15.75" customHeight="1" x14ac:dyDescent="0.3">
      <c r="A984" s="5"/>
      <c r="B984" s="5"/>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c r="AG984" s="5"/>
    </row>
    <row r="985" spans="1:33" ht="15.75" customHeight="1" x14ac:dyDescent="0.3">
      <c r="A985" s="5"/>
      <c r="B985" s="5"/>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c r="AG985" s="5"/>
    </row>
    <row r="986" spans="1:33" ht="15.75" customHeight="1" x14ac:dyDescent="0.3">
      <c r="A986" s="5"/>
      <c r="B986" s="5"/>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c r="AG986" s="5"/>
    </row>
    <row r="987" spans="1:33" ht="15.75" customHeight="1" x14ac:dyDescent="0.3">
      <c r="A987" s="5"/>
      <c r="B987" s="5"/>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c r="AG987" s="5"/>
    </row>
    <row r="988" spans="1:33" ht="15.75" customHeight="1" x14ac:dyDescent="0.3">
      <c r="A988" s="5"/>
      <c r="B988" s="5"/>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c r="AG988" s="5"/>
    </row>
    <row r="989" spans="1:33" ht="15.75" customHeight="1" x14ac:dyDescent="0.3">
      <c r="A989" s="5"/>
      <c r="B989" s="5"/>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c r="AG989" s="5"/>
    </row>
    <row r="990" spans="1:33" ht="15.75" customHeight="1" x14ac:dyDescent="0.3">
      <c r="A990" s="5"/>
      <c r="B990" s="5"/>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c r="AG990" s="5"/>
    </row>
    <row r="991" spans="1:33" ht="15.75" customHeight="1" x14ac:dyDescent="0.3">
      <c r="A991" s="5"/>
      <c r="B991" s="5"/>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c r="AG991" s="5"/>
    </row>
    <row r="992" spans="1:33" ht="15.75" customHeight="1" x14ac:dyDescent="0.3">
      <c r="A992" s="5"/>
      <c r="B992" s="5"/>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c r="AG992" s="5"/>
    </row>
    <row r="993" spans="1:33" ht="15.75" customHeight="1" x14ac:dyDescent="0.3">
      <c r="A993" s="5"/>
      <c r="B993" s="5"/>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c r="AG993" s="5"/>
    </row>
    <row r="994" spans="1:33" ht="15.75" customHeight="1" x14ac:dyDescent="0.3">
      <c r="A994" s="5"/>
      <c r="B994" s="5"/>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c r="AG994" s="5"/>
    </row>
    <row r="995" spans="1:33" ht="15.75" customHeight="1" x14ac:dyDescent="0.3">
      <c r="A995" s="5"/>
      <c r="B995" s="5"/>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c r="AF995" s="5"/>
      <c r="AG995" s="5"/>
    </row>
    <row r="996" spans="1:33" ht="15.75" customHeight="1" x14ac:dyDescent="0.3">
      <c r="A996" s="5"/>
      <c r="B996" s="5"/>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c r="AF996" s="5"/>
      <c r="AG996" s="5"/>
    </row>
    <row r="997" spans="1:33" ht="15.75" customHeight="1" x14ac:dyDescent="0.3">
      <c r="A997" s="5"/>
      <c r="B997" s="5"/>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c r="AF997" s="5"/>
      <c r="AG997" s="5"/>
    </row>
    <row r="998" spans="1:33" ht="15.75" customHeight="1" x14ac:dyDescent="0.3">
      <c r="A998" s="5"/>
      <c r="B998" s="5"/>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c r="AF998" s="5"/>
      <c r="AG998" s="5"/>
    </row>
    <row r="999" spans="1:33" ht="15.75" customHeight="1" x14ac:dyDescent="0.3">
      <c r="A999" s="5"/>
      <c r="B999" s="5"/>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c r="AF999" s="5"/>
      <c r="AG999" s="5"/>
    </row>
    <row r="1000" spans="1:33" ht="15.75" customHeight="1" x14ac:dyDescent="0.3">
      <c r="A1000" s="5"/>
      <c r="B1000" s="5"/>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c r="AF1000" s="5"/>
      <c r="AG1000" s="5"/>
    </row>
  </sheetData>
  <pageMargins left="0.75" right="0.75" top="1" bottom="1" header="0" footer="0"/>
  <pageSetup paperSize="9" orientation="portrait"/>
  <extLst>
    <ext xmlns:x14="http://schemas.microsoft.com/office/spreadsheetml/2009/9/main" uri="{CCE6A557-97BC-4b89-ADB6-D9C93CAAB3DF}">
      <x14:dataValidations xmlns:xm="http://schemas.microsoft.com/office/excel/2006/main" count="6">
        <x14:dataValidation type="list" allowBlank="1" showInputMessage="1" showErrorMessage="1" prompt="Invalid Entry - Please select a value from the dropdown list.">
          <x14:formula1>
            <xm:f>Lists!$A$5:$A$505</xm:f>
          </x14:formula1>
          <xm:sqref>M2:M1000</xm:sqref>
        </x14:dataValidation>
        <x14:dataValidation type="list" allowBlank="1" showInputMessage="1" showErrorMessage="1" prompt="Invalid Entry - Please select a value from the dropdown list.">
          <x14:formula1>
            <xm:f>Lists!$E$5:$E$505</xm:f>
          </x14:formula1>
          <xm:sqref>AE2:AE1000</xm:sqref>
        </x14:dataValidation>
        <x14:dataValidation type="list" allowBlank="1" showInputMessage="1" showErrorMessage="1" prompt="Invalid Entry - Please select a value from the dropdown list.">
          <x14:formula1>
            <xm:f>Lists!$D$5:$D$505</xm:f>
          </x14:formula1>
          <xm:sqref>AD2:AD1000</xm:sqref>
        </x14:dataValidation>
        <x14:dataValidation type="list" allowBlank="1" showInputMessage="1" showErrorMessage="1" prompt="Invalid Entry - Please select a value from the dropdown list.">
          <x14:formula1>
            <xm:f>Lists!$C$5:$C$505</xm:f>
          </x14:formula1>
          <xm:sqref>AC2:AC1000</xm:sqref>
        </x14:dataValidation>
        <x14:dataValidation type="list" allowBlank="1" showInputMessage="1" showErrorMessage="1" prompt="Invalid Entry - Please select a value from the dropdown list.">
          <x14:formula1>
            <xm:f>Lists!$F$5:$F$505</xm:f>
          </x14:formula1>
          <xm:sqref>K2:K1000</xm:sqref>
        </x14:dataValidation>
        <x14:dataValidation type="list" allowBlank="1" showInputMessage="1" showErrorMessage="1" prompt="Invalid Entry - Please select a value from the dropdown list.">
          <x14:formula1>
            <xm:f>Lists!$B$5:$B$505</xm:f>
          </x14:formula1>
          <xm:sqref>N2:N1000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000"/>
  <sheetViews>
    <sheetView showGridLines="0" workbookViewId="0"/>
  </sheetViews>
  <sheetFormatPr defaultColWidth="14.44140625" defaultRowHeight="15" customHeight="1" x14ac:dyDescent="0.3"/>
  <cols>
    <col min="1" max="2" width="18" customWidth="1"/>
    <col min="3" max="3" width="23" customWidth="1"/>
    <col min="4" max="4" width="20" customWidth="1"/>
    <col min="5" max="5" width="21" customWidth="1"/>
    <col min="6" max="6" width="18" customWidth="1"/>
    <col min="7" max="26" width="8.6640625" customWidth="1"/>
  </cols>
  <sheetData>
    <row r="1" spans="1:6" ht="24" customHeight="1" x14ac:dyDescent="0.4">
      <c r="A1" s="6" t="s">
        <v>1090</v>
      </c>
      <c r="B1" s="5"/>
      <c r="C1" s="5"/>
      <c r="D1" s="5"/>
      <c r="E1" s="5"/>
      <c r="F1" s="5"/>
    </row>
    <row r="2" spans="1:6" ht="15" customHeight="1" x14ac:dyDescent="0.3">
      <c r="A2" s="21" t="s">
        <v>1091</v>
      </c>
      <c r="B2" s="22"/>
      <c r="C2" s="22"/>
      <c r="D2" s="22"/>
      <c r="E2" s="22"/>
      <c r="F2" s="22"/>
    </row>
    <row r="3" spans="1:6" ht="14.4" x14ac:dyDescent="0.3">
      <c r="A3" s="5"/>
      <c r="B3" s="5"/>
      <c r="C3" s="5"/>
      <c r="D3" s="5"/>
      <c r="E3" s="5"/>
      <c r="F3" s="5"/>
    </row>
    <row r="4" spans="1:6" ht="15" customHeight="1" x14ac:dyDescent="0.3">
      <c r="A4" s="8" t="s">
        <v>12</v>
      </c>
      <c r="B4" s="8" t="s">
        <v>13</v>
      </c>
      <c r="C4" s="8" t="s">
        <v>28</v>
      </c>
      <c r="D4" s="8" t="s">
        <v>29</v>
      </c>
      <c r="E4" s="8" t="s">
        <v>30</v>
      </c>
      <c r="F4" s="8" t="s">
        <v>10</v>
      </c>
    </row>
    <row r="5" spans="1:6" ht="23.25" customHeight="1" x14ac:dyDescent="0.3">
      <c r="A5" s="9" t="s">
        <v>40</v>
      </c>
      <c r="B5" s="9" t="s">
        <v>80</v>
      </c>
      <c r="C5" s="9" t="s">
        <v>1092</v>
      </c>
      <c r="D5" s="9" t="s">
        <v>53</v>
      </c>
      <c r="E5" s="9" t="s">
        <v>1088</v>
      </c>
      <c r="F5" s="9" t="s">
        <v>79</v>
      </c>
    </row>
    <row r="6" spans="1:6" ht="23.25" customHeight="1" x14ac:dyDescent="0.3">
      <c r="A6" s="9" t="s">
        <v>1093</v>
      </c>
      <c r="B6" s="9" t="s">
        <v>1077</v>
      </c>
      <c r="C6" s="9" t="s">
        <v>52</v>
      </c>
      <c r="D6" s="9" t="s">
        <v>1094</v>
      </c>
      <c r="E6" s="9" t="s">
        <v>1095</v>
      </c>
      <c r="F6" s="9" t="s">
        <v>231</v>
      </c>
    </row>
    <row r="7" spans="1:6" ht="15" customHeight="1" x14ac:dyDescent="0.3">
      <c r="A7" s="9" t="s">
        <v>1096</v>
      </c>
      <c r="B7" s="9" t="s">
        <v>469</v>
      </c>
      <c r="C7" s="9" t="s">
        <v>1097</v>
      </c>
      <c r="D7" s="9" t="s">
        <v>348</v>
      </c>
      <c r="E7" s="9" t="s">
        <v>54</v>
      </c>
      <c r="F7" s="9" t="s">
        <v>175</v>
      </c>
    </row>
    <row r="8" spans="1:6" ht="15" customHeight="1" x14ac:dyDescent="0.3">
      <c r="A8" s="9" t="s">
        <v>1098</v>
      </c>
      <c r="B8" s="9" t="s">
        <v>41</v>
      </c>
      <c r="C8" s="9" t="s">
        <v>1099</v>
      </c>
      <c r="D8" s="9" t="s">
        <v>1100</v>
      </c>
      <c r="E8" s="9" t="s">
        <v>1101</v>
      </c>
      <c r="F8" s="9" t="s">
        <v>1102</v>
      </c>
    </row>
    <row r="9" spans="1:6" ht="15" customHeight="1" x14ac:dyDescent="0.3">
      <c r="A9" s="9" t="s">
        <v>1103</v>
      </c>
      <c r="B9" s="9" t="s">
        <v>555</v>
      </c>
      <c r="C9" s="5"/>
      <c r="D9" s="5"/>
      <c r="E9" s="9" t="s">
        <v>1104</v>
      </c>
      <c r="F9" s="9" t="s">
        <v>314</v>
      </c>
    </row>
    <row r="10" spans="1:6" ht="15" customHeight="1" x14ac:dyDescent="0.3">
      <c r="A10" s="9" t="s">
        <v>1105</v>
      </c>
      <c r="B10" s="9" t="s">
        <v>176</v>
      </c>
      <c r="C10" s="5"/>
      <c r="D10" s="5"/>
      <c r="E10" s="9" t="s">
        <v>1106</v>
      </c>
      <c r="F10" s="9" t="s">
        <v>39</v>
      </c>
    </row>
    <row r="11" spans="1:6" ht="15" customHeight="1" x14ac:dyDescent="0.3">
      <c r="A11" s="5"/>
      <c r="B11" s="9" t="s">
        <v>1088</v>
      </c>
      <c r="C11" s="5"/>
      <c r="D11" s="5"/>
      <c r="E11" s="5"/>
      <c r="F11" s="9" t="s">
        <v>1107</v>
      </c>
    </row>
    <row r="12" spans="1:6" ht="15" customHeight="1" x14ac:dyDescent="0.3">
      <c r="A12" s="5"/>
      <c r="B12" s="5"/>
      <c r="C12" s="5"/>
      <c r="D12" s="5"/>
      <c r="E12" s="5"/>
      <c r="F12" s="9" t="s">
        <v>1108</v>
      </c>
    </row>
    <row r="13" spans="1:6" ht="15" customHeight="1" x14ac:dyDescent="0.3">
      <c r="A13" s="5"/>
      <c r="B13" s="5"/>
      <c r="C13" s="5"/>
      <c r="D13" s="5"/>
      <c r="E13" s="5"/>
      <c r="F13" s="9" t="s">
        <v>818</v>
      </c>
    </row>
    <row r="14" spans="1:6" ht="15" customHeight="1" x14ac:dyDescent="0.3">
      <c r="A14" s="5"/>
      <c r="B14" s="5"/>
      <c r="C14" s="5"/>
      <c r="D14" s="5"/>
      <c r="E14" s="5"/>
      <c r="F14" s="9" t="s">
        <v>1109</v>
      </c>
    </row>
    <row r="15" spans="1:6" ht="15" customHeight="1" x14ac:dyDescent="0.3">
      <c r="A15" s="5"/>
      <c r="B15" s="5"/>
      <c r="C15" s="5"/>
      <c r="D15" s="5"/>
      <c r="E15" s="5"/>
      <c r="F15" s="9" t="s">
        <v>1110</v>
      </c>
    </row>
    <row r="16" spans="1:6" ht="23.25" customHeight="1" x14ac:dyDescent="0.3">
      <c r="A16" s="5"/>
      <c r="B16" s="5"/>
      <c r="C16" s="5"/>
      <c r="D16" s="5"/>
      <c r="E16" s="5"/>
      <c r="F16" s="9" t="s">
        <v>1111</v>
      </c>
    </row>
    <row r="17" spans="1:6" ht="23.25" customHeight="1" x14ac:dyDescent="0.3">
      <c r="A17" s="5"/>
      <c r="B17" s="5"/>
      <c r="C17" s="5"/>
      <c r="D17" s="5"/>
      <c r="E17" s="5"/>
      <c r="F17" s="9" t="s">
        <v>190</v>
      </c>
    </row>
    <row r="18" spans="1:6" ht="15" customHeight="1" x14ac:dyDescent="0.3">
      <c r="A18" s="5"/>
      <c r="B18" s="5"/>
      <c r="C18" s="5"/>
      <c r="D18" s="5"/>
      <c r="E18" s="5"/>
      <c r="F18" s="9" t="s">
        <v>1112</v>
      </c>
    </row>
    <row r="19" spans="1:6" ht="15" customHeight="1" x14ac:dyDescent="0.3">
      <c r="A19" s="5"/>
      <c r="B19" s="5"/>
      <c r="C19" s="5"/>
      <c r="D19" s="5"/>
      <c r="E19" s="5"/>
      <c r="F19" s="9" t="s">
        <v>328</v>
      </c>
    </row>
    <row r="20" spans="1:6" ht="14.4" x14ac:dyDescent="0.3">
      <c r="A20" s="5"/>
      <c r="B20" s="5"/>
      <c r="C20" s="5"/>
      <c r="D20" s="5"/>
      <c r="E20" s="5"/>
      <c r="F20" s="5"/>
    </row>
    <row r="21" spans="1:6" ht="15.75" customHeight="1" x14ac:dyDescent="0.3">
      <c r="A21" s="5"/>
      <c r="B21" s="5"/>
      <c r="C21" s="5"/>
      <c r="D21" s="5"/>
      <c r="E21" s="5"/>
      <c r="F21" s="5"/>
    </row>
    <row r="22" spans="1:6" ht="15.75" customHeight="1" x14ac:dyDescent="0.3">
      <c r="A22" s="5"/>
      <c r="B22" s="5"/>
      <c r="C22" s="5"/>
      <c r="D22" s="5"/>
      <c r="E22" s="5"/>
      <c r="F22" s="5"/>
    </row>
    <row r="23" spans="1:6" ht="15.75" customHeight="1" x14ac:dyDescent="0.3">
      <c r="A23" s="5"/>
      <c r="B23" s="5"/>
      <c r="C23" s="5"/>
      <c r="D23" s="5"/>
      <c r="E23" s="5"/>
      <c r="F23" s="5"/>
    </row>
    <row r="24" spans="1:6" ht="15.75" customHeight="1" x14ac:dyDescent="0.3">
      <c r="A24" s="5"/>
      <c r="B24" s="5"/>
      <c r="C24" s="5"/>
      <c r="D24" s="5"/>
      <c r="E24" s="5"/>
      <c r="F24" s="5"/>
    </row>
    <row r="25" spans="1:6" ht="15.75" customHeight="1" x14ac:dyDescent="0.3">
      <c r="A25" s="5"/>
      <c r="B25" s="5"/>
      <c r="C25" s="5"/>
      <c r="D25" s="5"/>
      <c r="E25" s="5"/>
      <c r="F25" s="5"/>
    </row>
    <row r="26" spans="1:6" ht="15.75" customHeight="1" x14ac:dyDescent="0.3">
      <c r="A26" s="5"/>
      <c r="B26" s="5"/>
      <c r="C26" s="5"/>
      <c r="D26" s="5"/>
      <c r="E26" s="5"/>
      <c r="F26" s="5"/>
    </row>
    <row r="27" spans="1:6" ht="15.75" customHeight="1" x14ac:dyDescent="0.3">
      <c r="A27" s="5"/>
      <c r="B27" s="5"/>
      <c r="C27" s="5"/>
      <c r="D27" s="5"/>
      <c r="E27" s="5"/>
      <c r="F27" s="5"/>
    </row>
    <row r="28" spans="1:6" ht="15.75" customHeight="1" x14ac:dyDescent="0.3">
      <c r="A28" s="5"/>
      <c r="B28" s="5"/>
      <c r="C28" s="5"/>
      <c r="D28" s="5"/>
      <c r="E28" s="5"/>
      <c r="F28" s="5"/>
    </row>
    <row r="29" spans="1:6" ht="15.75" customHeight="1" x14ac:dyDescent="0.3">
      <c r="A29" s="5"/>
      <c r="B29" s="5"/>
      <c r="C29" s="5"/>
      <c r="D29" s="5"/>
      <c r="E29" s="5"/>
      <c r="F29" s="5"/>
    </row>
    <row r="30" spans="1:6" ht="15.75" customHeight="1" x14ac:dyDescent="0.3">
      <c r="A30" s="5"/>
      <c r="B30" s="5"/>
      <c r="C30" s="5"/>
      <c r="D30" s="5"/>
      <c r="E30" s="5"/>
      <c r="F30" s="5"/>
    </row>
    <row r="31" spans="1:6" ht="15.75" customHeight="1" x14ac:dyDescent="0.3">
      <c r="A31" s="5"/>
      <c r="B31" s="5"/>
      <c r="C31" s="5"/>
      <c r="D31" s="5"/>
      <c r="E31" s="5"/>
      <c r="F31" s="5"/>
    </row>
    <row r="32" spans="1:6" ht="15.75" customHeight="1" x14ac:dyDescent="0.3">
      <c r="A32" s="5"/>
      <c r="B32" s="5"/>
      <c r="C32" s="5"/>
      <c r="D32" s="5"/>
      <c r="E32" s="5"/>
      <c r="F32" s="5"/>
    </row>
    <row r="33" spans="1:6" ht="15.75" customHeight="1" x14ac:dyDescent="0.3">
      <c r="A33" s="5"/>
      <c r="B33" s="5"/>
      <c r="C33" s="5"/>
      <c r="D33" s="5"/>
      <c r="E33" s="5"/>
      <c r="F33" s="5"/>
    </row>
    <row r="34" spans="1:6" ht="15.75" customHeight="1" x14ac:dyDescent="0.3">
      <c r="A34" s="5"/>
      <c r="B34" s="5"/>
      <c r="C34" s="5"/>
      <c r="D34" s="5"/>
      <c r="E34" s="5"/>
      <c r="F34" s="5"/>
    </row>
    <row r="35" spans="1:6" ht="15.75" customHeight="1" x14ac:dyDescent="0.3">
      <c r="A35" s="5"/>
      <c r="B35" s="5"/>
      <c r="C35" s="5"/>
      <c r="D35" s="5"/>
      <c r="E35" s="5"/>
      <c r="F35" s="5"/>
    </row>
    <row r="36" spans="1:6" ht="15.75" customHeight="1" x14ac:dyDescent="0.3">
      <c r="A36" s="5"/>
      <c r="B36" s="5"/>
      <c r="C36" s="5"/>
      <c r="D36" s="5"/>
      <c r="E36" s="5"/>
      <c r="F36" s="5"/>
    </row>
    <row r="37" spans="1:6" ht="15.75" customHeight="1" x14ac:dyDescent="0.3">
      <c r="A37" s="5"/>
      <c r="B37" s="5"/>
      <c r="C37" s="5"/>
      <c r="D37" s="5"/>
      <c r="E37" s="5"/>
      <c r="F37" s="5"/>
    </row>
    <row r="38" spans="1:6" ht="15.75" customHeight="1" x14ac:dyDescent="0.3">
      <c r="A38" s="5"/>
      <c r="B38" s="5"/>
      <c r="C38" s="5"/>
      <c r="D38" s="5"/>
      <c r="E38" s="5"/>
      <c r="F38" s="5"/>
    </row>
    <row r="39" spans="1:6" ht="15.75" customHeight="1" x14ac:dyDescent="0.3">
      <c r="A39" s="5"/>
      <c r="B39" s="5"/>
      <c r="C39" s="5"/>
      <c r="D39" s="5"/>
      <c r="E39" s="5"/>
      <c r="F39" s="5"/>
    </row>
    <row r="40" spans="1:6" ht="15.75" customHeight="1" x14ac:dyDescent="0.3">
      <c r="A40" s="5"/>
      <c r="B40" s="5"/>
      <c r="C40" s="5"/>
      <c r="D40" s="5"/>
      <c r="E40" s="5"/>
      <c r="F40" s="5"/>
    </row>
    <row r="41" spans="1:6" ht="15.75" customHeight="1" x14ac:dyDescent="0.3">
      <c r="A41" s="5"/>
      <c r="B41" s="5"/>
      <c r="C41" s="5"/>
      <c r="D41" s="5"/>
      <c r="E41" s="5"/>
      <c r="F41" s="5"/>
    </row>
    <row r="42" spans="1:6" ht="15.75" customHeight="1" x14ac:dyDescent="0.3">
      <c r="A42" s="5"/>
      <c r="B42" s="5"/>
      <c r="C42" s="5"/>
      <c r="D42" s="5"/>
      <c r="E42" s="5"/>
      <c r="F42" s="5"/>
    </row>
    <row r="43" spans="1:6" ht="15.75" customHeight="1" x14ac:dyDescent="0.3">
      <c r="A43" s="5"/>
      <c r="B43" s="5"/>
      <c r="C43" s="5"/>
      <c r="D43" s="5"/>
      <c r="E43" s="5"/>
      <c r="F43" s="5"/>
    </row>
    <row r="44" spans="1:6" ht="15.75" customHeight="1" x14ac:dyDescent="0.3">
      <c r="A44" s="5"/>
      <c r="B44" s="5"/>
      <c r="C44" s="5"/>
      <c r="D44" s="5"/>
      <c r="E44" s="5"/>
      <c r="F44" s="5"/>
    </row>
    <row r="45" spans="1:6" ht="15.75" customHeight="1" x14ac:dyDescent="0.3">
      <c r="A45" s="5"/>
      <c r="B45" s="5"/>
      <c r="C45" s="5"/>
      <c r="D45" s="5"/>
      <c r="E45" s="5"/>
      <c r="F45" s="5"/>
    </row>
    <row r="46" spans="1:6" ht="15.75" customHeight="1" x14ac:dyDescent="0.3">
      <c r="A46" s="5"/>
      <c r="B46" s="5"/>
      <c r="C46" s="5"/>
      <c r="D46" s="5"/>
      <c r="E46" s="5"/>
      <c r="F46" s="5"/>
    </row>
    <row r="47" spans="1:6" ht="15.75" customHeight="1" x14ac:dyDescent="0.3">
      <c r="A47" s="5"/>
      <c r="B47" s="5"/>
      <c r="C47" s="5"/>
      <c r="D47" s="5"/>
      <c r="E47" s="5"/>
      <c r="F47" s="5"/>
    </row>
    <row r="48" spans="1:6" ht="15.75" customHeight="1" x14ac:dyDescent="0.3">
      <c r="A48" s="5"/>
      <c r="B48" s="5"/>
      <c r="C48" s="5"/>
      <c r="D48" s="5"/>
      <c r="E48" s="5"/>
      <c r="F48" s="5"/>
    </row>
    <row r="49" spans="1:6" ht="15.75" customHeight="1" x14ac:dyDescent="0.3">
      <c r="A49" s="5"/>
      <c r="B49" s="5"/>
      <c r="C49" s="5"/>
      <c r="D49" s="5"/>
      <c r="E49" s="5"/>
      <c r="F49" s="5"/>
    </row>
    <row r="50" spans="1:6" ht="15.75" customHeight="1" x14ac:dyDescent="0.3">
      <c r="A50" s="5"/>
      <c r="B50" s="5"/>
      <c r="C50" s="5"/>
      <c r="D50" s="5"/>
      <c r="E50" s="5"/>
      <c r="F50" s="5"/>
    </row>
    <row r="51" spans="1:6" ht="15.75" customHeight="1" x14ac:dyDescent="0.3">
      <c r="A51" s="5"/>
      <c r="B51" s="5"/>
      <c r="C51" s="5"/>
      <c r="D51" s="5"/>
      <c r="E51" s="5"/>
      <c r="F51" s="5"/>
    </row>
    <row r="52" spans="1:6" ht="15.75" customHeight="1" x14ac:dyDescent="0.3">
      <c r="A52" s="5"/>
      <c r="B52" s="5"/>
      <c r="C52" s="5"/>
      <c r="D52" s="5"/>
      <c r="E52" s="5"/>
      <c r="F52" s="5"/>
    </row>
    <row r="53" spans="1:6" ht="15.75" customHeight="1" x14ac:dyDescent="0.3">
      <c r="A53" s="5"/>
      <c r="B53" s="5"/>
      <c r="C53" s="5"/>
      <c r="D53" s="5"/>
      <c r="E53" s="5"/>
      <c r="F53" s="5"/>
    </row>
    <row r="54" spans="1:6" ht="15.75" customHeight="1" x14ac:dyDescent="0.3">
      <c r="A54" s="5"/>
      <c r="B54" s="5"/>
      <c r="C54" s="5"/>
      <c r="D54" s="5"/>
      <c r="E54" s="5"/>
      <c r="F54" s="5"/>
    </row>
    <row r="55" spans="1:6" ht="15.75" customHeight="1" x14ac:dyDescent="0.3">
      <c r="A55" s="5"/>
      <c r="B55" s="5"/>
      <c r="C55" s="5"/>
      <c r="D55" s="5"/>
      <c r="E55" s="5"/>
      <c r="F55" s="5"/>
    </row>
    <row r="56" spans="1:6" ht="15.75" customHeight="1" x14ac:dyDescent="0.3">
      <c r="A56" s="5"/>
      <c r="B56" s="5"/>
      <c r="C56" s="5"/>
      <c r="D56" s="5"/>
      <c r="E56" s="5"/>
      <c r="F56" s="5"/>
    </row>
    <row r="57" spans="1:6" ht="15.75" customHeight="1" x14ac:dyDescent="0.3">
      <c r="A57" s="5"/>
      <c r="B57" s="5"/>
      <c r="C57" s="5"/>
      <c r="D57" s="5"/>
      <c r="E57" s="5"/>
      <c r="F57" s="5"/>
    </row>
    <row r="58" spans="1:6" ht="15.75" customHeight="1" x14ac:dyDescent="0.3">
      <c r="A58" s="5"/>
      <c r="B58" s="5"/>
      <c r="C58" s="5"/>
      <c r="D58" s="5"/>
      <c r="E58" s="5"/>
      <c r="F58" s="5"/>
    </row>
    <row r="59" spans="1:6" ht="15.75" customHeight="1" x14ac:dyDescent="0.3">
      <c r="A59" s="5"/>
      <c r="B59" s="5"/>
      <c r="C59" s="5"/>
      <c r="D59" s="5"/>
      <c r="E59" s="5"/>
      <c r="F59" s="5"/>
    </row>
    <row r="60" spans="1:6" ht="15.75" customHeight="1" x14ac:dyDescent="0.3">
      <c r="A60" s="5"/>
      <c r="B60" s="5"/>
      <c r="C60" s="5"/>
      <c r="D60" s="5"/>
      <c r="E60" s="5"/>
      <c r="F60" s="5"/>
    </row>
    <row r="61" spans="1:6" ht="15.75" customHeight="1" x14ac:dyDescent="0.3">
      <c r="A61" s="5"/>
      <c r="B61" s="5"/>
      <c r="C61" s="5"/>
      <c r="D61" s="5"/>
      <c r="E61" s="5"/>
      <c r="F61" s="5"/>
    </row>
    <row r="62" spans="1:6" ht="15.75" customHeight="1" x14ac:dyDescent="0.3">
      <c r="A62" s="5"/>
      <c r="B62" s="5"/>
      <c r="C62" s="5"/>
      <c r="D62" s="5"/>
      <c r="E62" s="5"/>
      <c r="F62" s="5"/>
    </row>
    <row r="63" spans="1:6" ht="15.75" customHeight="1" x14ac:dyDescent="0.3">
      <c r="A63" s="5"/>
      <c r="B63" s="5"/>
      <c r="C63" s="5"/>
      <c r="D63" s="5"/>
      <c r="E63" s="5"/>
      <c r="F63" s="5"/>
    </row>
    <row r="64" spans="1:6" ht="15.75" customHeight="1" x14ac:dyDescent="0.3">
      <c r="A64" s="5"/>
      <c r="B64" s="5"/>
      <c r="C64" s="5"/>
      <c r="D64" s="5"/>
      <c r="E64" s="5"/>
      <c r="F64" s="5"/>
    </row>
    <row r="65" spans="1:6" ht="15.75" customHeight="1" x14ac:dyDescent="0.3">
      <c r="A65" s="5"/>
      <c r="B65" s="5"/>
      <c r="C65" s="5"/>
      <c r="D65" s="5"/>
      <c r="E65" s="5"/>
      <c r="F65" s="5"/>
    </row>
    <row r="66" spans="1:6" ht="15.75" customHeight="1" x14ac:dyDescent="0.3">
      <c r="A66" s="5"/>
      <c r="B66" s="5"/>
      <c r="C66" s="5"/>
      <c r="D66" s="5"/>
      <c r="E66" s="5"/>
      <c r="F66" s="5"/>
    </row>
    <row r="67" spans="1:6" ht="15.75" customHeight="1" x14ac:dyDescent="0.3">
      <c r="A67" s="5"/>
      <c r="B67" s="5"/>
      <c r="C67" s="5"/>
      <c r="D67" s="5"/>
      <c r="E67" s="5"/>
      <c r="F67" s="5"/>
    </row>
    <row r="68" spans="1:6" ht="15.75" customHeight="1" x14ac:dyDescent="0.3">
      <c r="A68" s="5"/>
      <c r="B68" s="5"/>
      <c r="C68" s="5"/>
      <c r="D68" s="5"/>
      <c r="E68" s="5"/>
      <c r="F68" s="5"/>
    </row>
    <row r="69" spans="1:6" ht="15.75" customHeight="1" x14ac:dyDescent="0.3">
      <c r="A69" s="5"/>
      <c r="B69" s="5"/>
      <c r="C69" s="5"/>
      <c r="D69" s="5"/>
      <c r="E69" s="5"/>
      <c r="F69" s="5"/>
    </row>
    <row r="70" spans="1:6" ht="15.75" customHeight="1" x14ac:dyDescent="0.3">
      <c r="A70" s="5"/>
      <c r="B70" s="5"/>
      <c r="C70" s="5"/>
      <c r="D70" s="5"/>
      <c r="E70" s="5"/>
      <c r="F70" s="5"/>
    </row>
    <row r="71" spans="1:6" ht="15.75" customHeight="1" x14ac:dyDescent="0.3">
      <c r="A71" s="5"/>
      <c r="B71" s="5"/>
      <c r="C71" s="5"/>
      <c r="D71" s="5"/>
      <c r="E71" s="5"/>
      <c r="F71" s="5"/>
    </row>
    <row r="72" spans="1:6" ht="15.75" customHeight="1" x14ac:dyDescent="0.3">
      <c r="A72" s="5"/>
      <c r="B72" s="5"/>
      <c r="C72" s="5"/>
      <c r="D72" s="5"/>
      <c r="E72" s="5"/>
      <c r="F72" s="5"/>
    </row>
    <row r="73" spans="1:6" ht="15.75" customHeight="1" x14ac:dyDescent="0.3">
      <c r="A73" s="5"/>
      <c r="B73" s="5"/>
      <c r="C73" s="5"/>
      <c r="D73" s="5"/>
      <c r="E73" s="5"/>
      <c r="F73" s="5"/>
    </row>
    <row r="74" spans="1:6" ht="15.75" customHeight="1" x14ac:dyDescent="0.3">
      <c r="A74" s="5"/>
      <c r="B74" s="5"/>
      <c r="C74" s="5"/>
      <c r="D74" s="5"/>
      <c r="E74" s="5"/>
      <c r="F74" s="5"/>
    </row>
    <row r="75" spans="1:6" ht="15.75" customHeight="1" x14ac:dyDescent="0.3">
      <c r="A75" s="5"/>
      <c r="B75" s="5"/>
      <c r="C75" s="5"/>
      <c r="D75" s="5"/>
      <c r="E75" s="5"/>
      <c r="F75" s="5"/>
    </row>
    <row r="76" spans="1:6" ht="15.75" customHeight="1" x14ac:dyDescent="0.3">
      <c r="A76" s="5"/>
      <c r="B76" s="5"/>
      <c r="C76" s="5"/>
      <c r="D76" s="5"/>
      <c r="E76" s="5"/>
      <c r="F76" s="5"/>
    </row>
    <row r="77" spans="1:6" ht="15.75" customHeight="1" x14ac:dyDescent="0.3">
      <c r="A77" s="5"/>
      <c r="B77" s="5"/>
      <c r="C77" s="5"/>
      <c r="D77" s="5"/>
      <c r="E77" s="5"/>
      <c r="F77" s="5"/>
    </row>
    <row r="78" spans="1:6" ht="15.75" customHeight="1" x14ac:dyDescent="0.3">
      <c r="A78" s="5"/>
      <c r="B78" s="5"/>
      <c r="C78" s="5"/>
      <c r="D78" s="5"/>
      <c r="E78" s="5"/>
      <c r="F78" s="5"/>
    </row>
    <row r="79" spans="1:6" ht="15.75" customHeight="1" x14ac:dyDescent="0.3">
      <c r="A79" s="5"/>
      <c r="B79" s="5"/>
      <c r="C79" s="5"/>
      <c r="D79" s="5"/>
      <c r="E79" s="5"/>
      <c r="F79" s="5"/>
    </row>
    <row r="80" spans="1:6" ht="15.75" customHeight="1" x14ac:dyDescent="0.3">
      <c r="A80" s="5"/>
      <c r="B80" s="5"/>
      <c r="C80" s="5"/>
      <c r="D80" s="5"/>
      <c r="E80" s="5"/>
      <c r="F80" s="5"/>
    </row>
    <row r="81" spans="1:6" ht="15.75" customHeight="1" x14ac:dyDescent="0.3">
      <c r="A81" s="5"/>
      <c r="B81" s="5"/>
      <c r="C81" s="5"/>
      <c r="D81" s="5"/>
      <c r="E81" s="5"/>
      <c r="F81" s="5"/>
    </row>
    <row r="82" spans="1:6" ht="15.75" customHeight="1" x14ac:dyDescent="0.3">
      <c r="A82" s="5"/>
      <c r="B82" s="5"/>
      <c r="C82" s="5"/>
      <c r="D82" s="5"/>
      <c r="E82" s="5"/>
      <c r="F82" s="5"/>
    </row>
    <row r="83" spans="1:6" ht="15.75" customHeight="1" x14ac:dyDescent="0.3">
      <c r="A83" s="5"/>
      <c r="B83" s="5"/>
      <c r="C83" s="5"/>
      <c r="D83" s="5"/>
      <c r="E83" s="5"/>
      <c r="F83" s="5"/>
    </row>
    <row r="84" spans="1:6" ht="15.75" customHeight="1" x14ac:dyDescent="0.3">
      <c r="A84" s="5"/>
      <c r="B84" s="5"/>
      <c r="C84" s="5"/>
      <c r="D84" s="5"/>
      <c r="E84" s="5"/>
      <c r="F84" s="5"/>
    </row>
    <row r="85" spans="1:6" ht="15.75" customHeight="1" x14ac:dyDescent="0.3">
      <c r="A85" s="5"/>
      <c r="B85" s="5"/>
      <c r="C85" s="5"/>
      <c r="D85" s="5"/>
      <c r="E85" s="5"/>
      <c r="F85" s="5"/>
    </row>
    <row r="86" spans="1:6" ht="15.75" customHeight="1" x14ac:dyDescent="0.3">
      <c r="A86" s="5"/>
      <c r="B86" s="5"/>
      <c r="C86" s="5"/>
      <c r="D86" s="5"/>
      <c r="E86" s="5"/>
      <c r="F86" s="5"/>
    </row>
    <row r="87" spans="1:6" ht="15.75" customHeight="1" x14ac:dyDescent="0.3">
      <c r="A87" s="5"/>
      <c r="B87" s="5"/>
      <c r="C87" s="5"/>
      <c r="D87" s="5"/>
      <c r="E87" s="5"/>
      <c r="F87" s="5"/>
    </row>
    <row r="88" spans="1:6" ht="15.75" customHeight="1" x14ac:dyDescent="0.3">
      <c r="A88" s="5"/>
      <c r="B88" s="5"/>
      <c r="C88" s="5"/>
      <c r="D88" s="5"/>
      <c r="E88" s="5"/>
      <c r="F88" s="5"/>
    </row>
    <row r="89" spans="1:6" ht="15.75" customHeight="1" x14ac:dyDescent="0.3">
      <c r="A89" s="5"/>
      <c r="B89" s="5"/>
      <c r="C89" s="5"/>
      <c r="D89" s="5"/>
      <c r="E89" s="5"/>
      <c r="F89" s="5"/>
    </row>
    <row r="90" spans="1:6" ht="15.75" customHeight="1" x14ac:dyDescent="0.3">
      <c r="A90" s="5"/>
      <c r="B90" s="5"/>
      <c r="C90" s="5"/>
      <c r="D90" s="5"/>
      <c r="E90" s="5"/>
      <c r="F90" s="5"/>
    </row>
    <row r="91" spans="1:6" ht="15.75" customHeight="1" x14ac:dyDescent="0.3">
      <c r="A91" s="5"/>
      <c r="B91" s="5"/>
      <c r="C91" s="5"/>
      <c r="D91" s="5"/>
      <c r="E91" s="5"/>
      <c r="F91" s="5"/>
    </row>
    <row r="92" spans="1:6" ht="15.75" customHeight="1" x14ac:dyDescent="0.3">
      <c r="A92" s="5"/>
      <c r="B92" s="5"/>
      <c r="C92" s="5"/>
      <c r="D92" s="5"/>
      <c r="E92" s="5"/>
      <c r="F92" s="5"/>
    </row>
    <row r="93" spans="1:6" ht="15.75" customHeight="1" x14ac:dyDescent="0.3">
      <c r="A93" s="5"/>
      <c r="B93" s="5"/>
      <c r="C93" s="5"/>
      <c r="D93" s="5"/>
      <c r="E93" s="5"/>
      <c r="F93" s="5"/>
    </row>
    <row r="94" spans="1:6" ht="15.75" customHeight="1" x14ac:dyDescent="0.3">
      <c r="A94" s="5"/>
      <c r="B94" s="5"/>
      <c r="C94" s="5"/>
      <c r="D94" s="5"/>
      <c r="E94" s="5"/>
      <c r="F94" s="5"/>
    </row>
    <row r="95" spans="1:6" ht="15.75" customHeight="1" x14ac:dyDescent="0.3">
      <c r="A95" s="5"/>
      <c r="B95" s="5"/>
      <c r="C95" s="5"/>
      <c r="D95" s="5"/>
      <c r="E95" s="5"/>
      <c r="F95" s="5"/>
    </row>
    <row r="96" spans="1:6" ht="15.75" customHeight="1" x14ac:dyDescent="0.3">
      <c r="A96" s="5"/>
      <c r="B96" s="5"/>
      <c r="C96" s="5"/>
      <c r="D96" s="5"/>
      <c r="E96" s="5"/>
      <c r="F96" s="5"/>
    </row>
    <row r="97" spans="1:6" ht="15.75" customHeight="1" x14ac:dyDescent="0.3">
      <c r="A97" s="5"/>
      <c r="B97" s="5"/>
      <c r="C97" s="5"/>
      <c r="D97" s="5"/>
      <c r="E97" s="5"/>
      <c r="F97" s="5"/>
    </row>
    <row r="98" spans="1:6" ht="15.75" customHeight="1" x14ac:dyDescent="0.3">
      <c r="A98" s="5"/>
      <c r="B98" s="5"/>
      <c r="C98" s="5"/>
      <c r="D98" s="5"/>
      <c r="E98" s="5"/>
      <c r="F98" s="5"/>
    </row>
    <row r="99" spans="1:6" ht="15.75" customHeight="1" x14ac:dyDescent="0.3">
      <c r="A99" s="5"/>
      <c r="B99" s="5"/>
      <c r="C99" s="5"/>
      <c r="D99" s="5"/>
      <c r="E99" s="5"/>
      <c r="F99" s="5"/>
    </row>
    <row r="100" spans="1:6" ht="15.75" customHeight="1" x14ac:dyDescent="0.3">
      <c r="A100" s="5"/>
      <c r="B100" s="5"/>
      <c r="C100" s="5"/>
      <c r="D100" s="5"/>
      <c r="E100" s="5"/>
      <c r="F100" s="5"/>
    </row>
    <row r="101" spans="1:6" ht="15.75" customHeight="1" x14ac:dyDescent="0.3">
      <c r="A101" s="5"/>
      <c r="B101" s="5"/>
      <c r="C101" s="5"/>
      <c r="D101" s="5"/>
      <c r="E101" s="5"/>
      <c r="F101" s="5"/>
    </row>
    <row r="102" spans="1:6" ht="15.75" customHeight="1" x14ac:dyDescent="0.3">
      <c r="A102" s="5"/>
      <c r="B102" s="5"/>
      <c r="C102" s="5"/>
      <c r="D102" s="5"/>
      <c r="E102" s="5"/>
      <c r="F102" s="5"/>
    </row>
    <row r="103" spans="1:6" ht="15.75" customHeight="1" x14ac:dyDescent="0.3">
      <c r="A103" s="5"/>
      <c r="B103" s="5"/>
      <c r="C103" s="5"/>
      <c r="D103" s="5"/>
      <c r="E103" s="5"/>
      <c r="F103" s="5"/>
    </row>
    <row r="104" spans="1:6" ht="15.75" customHeight="1" x14ac:dyDescent="0.3">
      <c r="A104" s="5"/>
      <c r="B104" s="5"/>
      <c r="C104" s="5"/>
      <c r="D104" s="5"/>
      <c r="E104" s="5"/>
      <c r="F104" s="5"/>
    </row>
    <row r="105" spans="1:6" ht="15.75" customHeight="1" x14ac:dyDescent="0.3">
      <c r="A105" s="5"/>
      <c r="B105" s="5"/>
      <c r="C105" s="5"/>
      <c r="D105" s="5"/>
      <c r="E105" s="5"/>
      <c r="F105" s="5"/>
    </row>
    <row r="106" spans="1:6" ht="15.75" customHeight="1" x14ac:dyDescent="0.3">
      <c r="A106" s="5"/>
      <c r="B106" s="5"/>
      <c r="C106" s="5"/>
      <c r="D106" s="5"/>
      <c r="E106" s="5"/>
      <c r="F106" s="5"/>
    </row>
    <row r="107" spans="1:6" ht="15.75" customHeight="1" x14ac:dyDescent="0.3">
      <c r="A107" s="5"/>
      <c r="B107" s="5"/>
      <c r="C107" s="5"/>
      <c r="D107" s="5"/>
      <c r="E107" s="5"/>
      <c r="F107" s="5"/>
    </row>
    <row r="108" spans="1:6" ht="15.75" customHeight="1" x14ac:dyDescent="0.3">
      <c r="A108" s="5"/>
      <c r="B108" s="5"/>
      <c r="C108" s="5"/>
      <c r="D108" s="5"/>
      <c r="E108" s="5"/>
      <c r="F108" s="5"/>
    </row>
    <row r="109" spans="1:6" ht="15.75" customHeight="1" x14ac:dyDescent="0.3">
      <c r="A109" s="5"/>
      <c r="B109" s="5"/>
      <c r="C109" s="5"/>
      <c r="D109" s="5"/>
      <c r="E109" s="5"/>
      <c r="F109" s="5"/>
    </row>
    <row r="110" spans="1:6" ht="15.75" customHeight="1" x14ac:dyDescent="0.3">
      <c r="A110" s="5"/>
      <c r="B110" s="5"/>
      <c r="C110" s="5"/>
      <c r="D110" s="5"/>
      <c r="E110" s="5"/>
      <c r="F110" s="5"/>
    </row>
    <row r="111" spans="1:6" ht="15.75" customHeight="1" x14ac:dyDescent="0.3">
      <c r="A111" s="5"/>
      <c r="B111" s="5"/>
      <c r="C111" s="5"/>
      <c r="D111" s="5"/>
      <c r="E111" s="5"/>
      <c r="F111" s="5"/>
    </row>
    <row r="112" spans="1:6" ht="15.75" customHeight="1" x14ac:dyDescent="0.3">
      <c r="A112" s="5"/>
      <c r="B112" s="5"/>
      <c r="C112" s="5"/>
      <c r="D112" s="5"/>
      <c r="E112" s="5"/>
      <c r="F112" s="5"/>
    </row>
    <row r="113" spans="1:6" ht="15.75" customHeight="1" x14ac:dyDescent="0.3">
      <c r="A113" s="5"/>
      <c r="B113" s="5"/>
      <c r="C113" s="5"/>
      <c r="D113" s="5"/>
      <c r="E113" s="5"/>
      <c r="F113" s="5"/>
    </row>
    <row r="114" spans="1:6" ht="15.75" customHeight="1" x14ac:dyDescent="0.3">
      <c r="A114" s="5"/>
      <c r="B114" s="5"/>
      <c r="C114" s="5"/>
      <c r="D114" s="5"/>
      <c r="E114" s="5"/>
      <c r="F114" s="5"/>
    </row>
    <row r="115" spans="1:6" ht="15.75" customHeight="1" x14ac:dyDescent="0.3">
      <c r="A115" s="5"/>
      <c r="B115" s="5"/>
      <c r="C115" s="5"/>
      <c r="D115" s="5"/>
      <c r="E115" s="5"/>
      <c r="F115" s="5"/>
    </row>
    <row r="116" spans="1:6" ht="15.75" customHeight="1" x14ac:dyDescent="0.3">
      <c r="A116" s="5"/>
      <c r="B116" s="5"/>
      <c r="C116" s="5"/>
      <c r="D116" s="5"/>
      <c r="E116" s="5"/>
      <c r="F116" s="5"/>
    </row>
    <row r="117" spans="1:6" ht="15.75" customHeight="1" x14ac:dyDescent="0.3">
      <c r="A117" s="5"/>
      <c r="B117" s="5"/>
      <c r="C117" s="5"/>
      <c r="D117" s="5"/>
      <c r="E117" s="5"/>
      <c r="F117" s="5"/>
    </row>
    <row r="118" spans="1:6" ht="15.75" customHeight="1" x14ac:dyDescent="0.3">
      <c r="A118" s="5"/>
      <c r="B118" s="5"/>
      <c r="C118" s="5"/>
      <c r="D118" s="5"/>
      <c r="E118" s="5"/>
      <c r="F118" s="5"/>
    </row>
    <row r="119" spans="1:6" ht="15.75" customHeight="1" x14ac:dyDescent="0.3">
      <c r="A119" s="5"/>
      <c r="B119" s="5"/>
      <c r="C119" s="5"/>
      <c r="D119" s="5"/>
      <c r="E119" s="5"/>
      <c r="F119" s="5"/>
    </row>
    <row r="120" spans="1:6" ht="15.75" customHeight="1" x14ac:dyDescent="0.3">
      <c r="A120" s="5"/>
      <c r="B120" s="5"/>
      <c r="C120" s="5"/>
      <c r="D120" s="5"/>
      <c r="E120" s="5"/>
      <c r="F120" s="5"/>
    </row>
    <row r="121" spans="1:6" ht="15.75" customHeight="1" x14ac:dyDescent="0.3">
      <c r="A121" s="5"/>
      <c r="B121" s="5"/>
      <c r="C121" s="5"/>
      <c r="D121" s="5"/>
      <c r="E121" s="5"/>
      <c r="F121" s="5"/>
    </row>
    <row r="122" spans="1:6" ht="15.75" customHeight="1" x14ac:dyDescent="0.3">
      <c r="A122" s="5"/>
      <c r="B122" s="5"/>
      <c r="C122" s="5"/>
      <c r="D122" s="5"/>
      <c r="E122" s="5"/>
      <c r="F122" s="5"/>
    </row>
    <row r="123" spans="1:6" ht="15.75" customHeight="1" x14ac:dyDescent="0.3">
      <c r="A123" s="5"/>
      <c r="B123" s="5"/>
      <c r="C123" s="5"/>
      <c r="D123" s="5"/>
      <c r="E123" s="5"/>
      <c r="F123" s="5"/>
    </row>
    <row r="124" spans="1:6" ht="15.75" customHeight="1" x14ac:dyDescent="0.3">
      <c r="A124" s="5"/>
      <c r="B124" s="5"/>
      <c r="C124" s="5"/>
      <c r="D124" s="5"/>
      <c r="E124" s="5"/>
      <c r="F124" s="5"/>
    </row>
    <row r="125" spans="1:6" ht="15.75" customHeight="1" x14ac:dyDescent="0.3">
      <c r="A125" s="5"/>
      <c r="B125" s="5"/>
      <c r="C125" s="5"/>
      <c r="D125" s="5"/>
      <c r="E125" s="5"/>
      <c r="F125" s="5"/>
    </row>
    <row r="126" spans="1:6" ht="15.75" customHeight="1" x14ac:dyDescent="0.3">
      <c r="A126" s="5"/>
      <c r="B126" s="5"/>
      <c r="C126" s="5"/>
      <c r="D126" s="5"/>
      <c r="E126" s="5"/>
      <c r="F126" s="5"/>
    </row>
    <row r="127" spans="1:6" ht="15.75" customHeight="1" x14ac:dyDescent="0.3">
      <c r="A127" s="5"/>
      <c r="B127" s="5"/>
      <c r="C127" s="5"/>
      <c r="D127" s="5"/>
      <c r="E127" s="5"/>
      <c r="F127" s="5"/>
    </row>
    <row r="128" spans="1:6" ht="15.75" customHeight="1" x14ac:dyDescent="0.3">
      <c r="A128" s="5"/>
      <c r="B128" s="5"/>
      <c r="C128" s="5"/>
      <c r="D128" s="5"/>
      <c r="E128" s="5"/>
      <c r="F128" s="5"/>
    </row>
    <row r="129" spans="1:6" ht="15.75" customHeight="1" x14ac:dyDescent="0.3">
      <c r="A129" s="5"/>
      <c r="B129" s="5"/>
      <c r="C129" s="5"/>
      <c r="D129" s="5"/>
      <c r="E129" s="5"/>
      <c r="F129" s="5"/>
    </row>
    <row r="130" spans="1:6" ht="15.75" customHeight="1" x14ac:dyDescent="0.3">
      <c r="A130" s="5"/>
      <c r="B130" s="5"/>
      <c r="C130" s="5"/>
      <c r="D130" s="5"/>
      <c r="E130" s="5"/>
      <c r="F130" s="5"/>
    </row>
    <row r="131" spans="1:6" ht="15.75" customHeight="1" x14ac:dyDescent="0.3">
      <c r="A131" s="5"/>
      <c r="B131" s="5"/>
      <c r="C131" s="5"/>
      <c r="D131" s="5"/>
      <c r="E131" s="5"/>
      <c r="F131" s="5"/>
    </row>
    <row r="132" spans="1:6" ht="15.75" customHeight="1" x14ac:dyDescent="0.3">
      <c r="A132" s="5"/>
      <c r="B132" s="5"/>
      <c r="C132" s="5"/>
      <c r="D132" s="5"/>
      <c r="E132" s="5"/>
      <c r="F132" s="5"/>
    </row>
    <row r="133" spans="1:6" ht="15.75" customHeight="1" x14ac:dyDescent="0.3">
      <c r="A133" s="5"/>
      <c r="B133" s="5"/>
      <c r="C133" s="5"/>
      <c r="D133" s="5"/>
      <c r="E133" s="5"/>
      <c r="F133" s="5"/>
    </row>
    <row r="134" spans="1:6" ht="15.75" customHeight="1" x14ac:dyDescent="0.3">
      <c r="A134" s="5"/>
      <c r="B134" s="5"/>
      <c r="C134" s="5"/>
      <c r="D134" s="5"/>
      <c r="E134" s="5"/>
      <c r="F134" s="5"/>
    </row>
    <row r="135" spans="1:6" ht="15.75" customHeight="1" x14ac:dyDescent="0.3">
      <c r="A135" s="5"/>
      <c r="B135" s="5"/>
      <c r="C135" s="5"/>
      <c r="D135" s="5"/>
      <c r="E135" s="5"/>
      <c r="F135" s="5"/>
    </row>
    <row r="136" spans="1:6" ht="15.75" customHeight="1" x14ac:dyDescent="0.3">
      <c r="A136" s="5"/>
      <c r="B136" s="5"/>
      <c r="C136" s="5"/>
      <c r="D136" s="5"/>
      <c r="E136" s="5"/>
      <c r="F136" s="5"/>
    </row>
    <row r="137" spans="1:6" ht="15.75" customHeight="1" x14ac:dyDescent="0.3">
      <c r="A137" s="5"/>
      <c r="B137" s="5"/>
      <c r="C137" s="5"/>
      <c r="D137" s="5"/>
      <c r="E137" s="5"/>
      <c r="F137" s="5"/>
    </row>
    <row r="138" spans="1:6" ht="15.75" customHeight="1" x14ac:dyDescent="0.3">
      <c r="A138" s="5"/>
      <c r="B138" s="5"/>
      <c r="C138" s="5"/>
      <c r="D138" s="5"/>
      <c r="E138" s="5"/>
      <c r="F138" s="5"/>
    </row>
    <row r="139" spans="1:6" ht="15.75" customHeight="1" x14ac:dyDescent="0.3">
      <c r="A139" s="5"/>
      <c r="B139" s="5"/>
      <c r="C139" s="5"/>
      <c r="D139" s="5"/>
      <c r="E139" s="5"/>
      <c r="F139" s="5"/>
    </row>
    <row r="140" spans="1:6" ht="15.75" customHeight="1" x14ac:dyDescent="0.3">
      <c r="A140" s="5"/>
      <c r="B140" s="5"/>
      <c r="C140" s="5"/>
      <c r="D140" s="5"/>
      <c r="E140" s="5"/>
      <c r="F140" s="5"/>
    </row>
    <row r="141" spans="1:6" ht="15.75" customHeight="1" x14ac:dyDescent="0.3">
      <c r="A141" s="5"/>
      <c r="B141" s="5"/>
      <c r="C141" s="5"/>
      <c r="D141" s="5"/>
      <c r="E141" s="5"/>
      <c r="F141" s="5"/>
    </row>
    <row r="142" spans="1:6" ht="15.75" customHeight="1" x14ac:dyDescent="0.3">
      <c r="A142" s="5"/>
      <c r="B142" s="5"/>
      <c r="C142" s="5"/>
      <c r="D142" s="5"/>
      <c r="E142" s="5"/>
      <c r="F142" s="5"/>
    </row>
    <row r="143" spans="1:6" ht="15.75" customHeight="1" x14ac:dyDescent="0.3">
      <c r="A143" s="5"/>
      <c r="B143" s="5"/>
      <c r="C143" s="5"/>
      <c r="D143" s="5"/>
      <c r="E143" s="5"/>
      <c r="F143" s="5"/>
    </row>
    <row r="144" spans="1:6" ht="15.75" customHeight="1" x14ac:dyDescent="0.3">
      <c r="A144" s="5"/>
      <c r="B144" s="5"/>
      <c r="C144" s="5"/>
      <c r="D144" s="5"/>
      <c r="E144" s="5"/>
      <c r="F144" s="5"/>
    </row>
    <row r="145" spans="1:6" ht="15.75" customHeight="1" x14ac:dyDescent="0.3">
      <c r="A145" s="5"/>
      <c r="B145" s="5"/>
      <c r="C145" s="5"/>
      <c r="D145" s="5"/>
      <c r="E145" s="5"/>
      <c r="F145" s="5"/>
    </row>
    <row r="146" spans="1:6" ht="15.75" customHeight="1" x14ac:dyDescent="0.3">
      <c r="A146" s="5"/>
      <c r="B146" s="5"/>
      <c r="C146" s="5"/>
      <c r="D146" s="5"/>
      <c r="E146" s="5"/>
      <c r="F146" s="5"/>
    </row>
    <row r="147" spans="1:6" ht="15.75" customHeight="1" x14ac:dyDescent="0.3">
      <c r="A147" s="5"/>
      <c r="B147" s="5"/>
      <c r="C147" s="5"/>
      <c r="D147" s="5"/>
      <c r="E147" s="5"/>
      <c r="F147" s="5"/>
    </row>
    <row r="148" spans="1:6" ht="15.75" customHeight="1" x14ac:dyDescent="0.3">
      <c r="A148" s="5"/>
      <c r="B148" s="5"/>
      <c r="C148" s="5"/>
      <c r="D148" s="5"/>
      <c r="E148" s="5"/>
      <c r="F148" s="5"/>
    </row>
    <row r="149" spans="1:6" ht="15.75" customHeight="1" x14ac:dyDescent="0.3">
      <c r="A149" s="5"/>
      <c r="B149" s="5"/>
      <c r="C149" s="5"/>
      <c r="D149" s="5"/>
      <c r="E149" s="5"/>
      <c r="F149" s="5"/>
    </row>
    <row r="150" spans="1:6" ht="15.75" customHeight="1" x14ac:dyDescent="0.3">
      <c r="A150" s="5"/>
      <c r="B150" s="5"/>
      <c r="C150" s="5"/>
      <c r="D150" s="5"/>
      <c r="E150" s="5"/>
      <c r="F150" s="5"/>
    </row>
    <row r="151" spans="1:6" ht="15.75" customHeight="1" x14ac:dyDescent="0.3">
      <c r="A151" s="5"/>
      <c r="B151" s="5"/>
      <c r="C151" s="5"/>
      <c r="D151" s="5"/>
      <c r="E151" s="5"/>
      <c r="F151" s="5"/>
    </row>
    <row r="152" spans="1:6" ht="15.75" customHeight="1" x14ac:dyDescent="0.3">
      <c r="A152" s="5"/>
      <c r="B152" s="5"/>
      <c r="C152" s="5"/>
      <c r="D152" s="5"/>
      <c r="E152" s="5"/>
      <c r="F152" s="5"/>
    </row>
    <row r="153" spans="1:6" ht="15.75" customHeight="1" x14ac:dyDescent="0.3">
      <c r="A153" s="5"/>
      <c r="B153" s="5"/>
      <c r="C153" s="5"/>
      <c r="D153" s="5"/>
      <c r="E153" s="5"/>
      <c r="F153" s="5"/>
    </row>
    <row r="154" spans="1:6" ht="15.75" customHeight="1" x14ac:dyDescent="0.3">
      <c r="A154" s="5"/>
      <c r="B154" s="5"/>
      <c r="C154" s="5"/>
      <c r="D154" s="5"/>
      <c r="E154" s="5"/>
      <c r="F154" s="5"/>
    </row>
    <row r="155" spans="1:6" ht="15.75" customHeight="1" x14ac:dyDescent="0.3">
      <c r="A155" s="5"/>
      <c r="B155" s="5"/>
      <c r="C155" s="5"/>
      <c r="D155" s="5"/>
      <c r="E155" s="5"/>
      <c r="F155" s="5"/>
    </row>
    <row r="156" spans="1:6" ht="15.75" customHeight="1" x14ac:dyDescent="0.3">
      <c r="A156" s="5"/>
      <c r="B156" s="5"/>
      <c r="C156" s="5"/>
      <c r="D156" s="5"/>
      <c r="E156" s="5"/>
      <c r="F156" s="5"/>
    </row>
    <row r="157" spans="1:6" ht="15.75" customHeight="1" x14ac:dyDescent="0.3">
      <c r="A157" s="5"/>
      <c r="B157" s="5"/>
      <c r="C157" s="5"/>
      <c r="D157" s="5"/>
      <c r="E157" s="5"/>
      <c r="F157" s="5"/>
    </row>
    <row r="158" spans="1:6" ht="15.75" customHeight="1" x14ac:dyDescent="0.3">
      <c r="A158" s="5"/>
      <c r="B158" s="5"/>
      <c r="C158" s="5"/>
      <c r="D158" s="5"/>
      <c r="E158" s="5"/>
      <c r="F158" s="5"/>
    </row>
    <row r="159" spans="1:6" ht="15.75" customHeight="1" x14ac:dyDescent="0.3">
      <c r="A159" s="5"/>
      <c r="B159" s="5"/>
      <c r="C159" s="5"/>
      <c r="D159" s="5"/>
      <c r="E159" s="5"/>
      <c r="F159" s="5"/>
    </row>
    <row r="160" spans="1:6" ht="15.75" customHeight="1" x14ac:dyDescent="0.3">
      <c r="A160" s="5"/>
      <c r="B160" s="5"/>
      <c r="C160" s="5"/>
      <c r="D160" s="5"/>
      <c r="E160" s="5"/>
      <c r="F160" s="5"/>
    </row>
    <row r="161" spans="1:6" ht="15.75" customHeight="1" x14ac:dyDescent="0.3">
      <c r="A161" s="5"/>
      <c r="B161" s="5"/>
      <c r="C161" s="5"/>
      <c r="D161" s="5"/>
      <c r="E161" s="5"/>
      <c r="F161" s="5"/>
    </row>
    <row r="162" spans="1:6" ht="15.75" customHeight="1" x14ac:dyDescent="0.3">
      <c r="A162" s="5"/>
      <c r="B162" s="5"/>
      <c r="C162" s="5"/>
      <c r="D162" s="5"/>
      <c r="E162" s="5"/>
      <c r="F162" s="5"/>
    </row>
    <row r="163" spans="1:6" ht="15.75" customHeight="1" x14ac:dyDescent="0.3">
      <c r="A163" s="5"/>
      <c r="B163" s="5"/>
      <c r="C163" s="5"/>
      <c r="D163" s="5"/>
      <c r="E163" s="5"/>
      <c r="F163" s="5"/>
    </row>
    <row r="164" spans="1:6" ht="15.75" customHeight="1" x14ac:dyDescent="0.3">
      <c r="A164" s="5"/>
      <c r="B164" s="5"/>
      <c r="C164" s="5"/>
      <c r="D164" s="5"/>
      <c r="E164" s="5"/>
      <c r="F164" s="5"/>
    </row>
    <row r="165" spans="1:6" ht="15.75" customHeight="1" x14ac:dyDescent="0.3">
      <c r="A165" s="5"/>
      <c r="B165" s="5"/>
      <c r="C165" s="5"/>
      <c r="D165" s="5"/>
      <c r="E165" s="5"/>
      <c r="F165" s="5"/>
    </row>
    <row r="166" spans="1:6" ht="15.75" customHeight="1" x14ac:dyDescent="0.3">
      <c r="A166" s="5"/>
      <c r="B166" s="5"/>
      <c r="C166" s="5"/>
      <c r="D166" s="5"/>
      <c r="E166" s="5"/>
      <c r="F166" s="5"/>
    </row>
    <row r="167" spans="1:6" ht="15.75" customHeight="1" x14ac:dyDescent="0.3">
      <c r="A167" s="5"/>
      <c r="B167" s="5"/>
      <c r="C167" s="5"/>
      <c r="D167" s="5"/>
      <c r="E167" s="5"/>
      <c r="F167" s="5"/>
    </row>
    <row r="168" spans="1:6" ht="15.75" customHeight="1" x14ac:dyDescent="0.3">
      <c r="A168" s="5"/>
      <c r="B168" s="5"/>
      <c r="C168" s="5"/>
      <c r="D168" s="5"/>
      <c r="E168" s="5"/>
      <c r="F168" s="5"/>
    </row>
    <row r="169" spans="1:6" ht="15.75" customHeight="1" x14ac:dyDescent="0.3">
      <c r="A169" s="5"/>
      <c r="B169" s="5"/>
      <c r="C169" s="5"/>
      <c r="D169" s="5"/>
      <c r="E169" s="5"/>
      <c r="F169" s="5"/>
    </row>
    <row r="170" spans="1:6" ht="15.75" customHeight="1" x14ac:dyDescent="0.3">
      <c r="A170" s="5"/>
      <c r="B170" s="5"/>
      <c r="C170" s="5"/>
      <c r="D170" s="5"/>
      <c r="E170" s="5"/>
      <c r="F170" s="5"/>
    </row>
    <row r="171" spans="1:6" ht="15.75" customHeight="1" x14ac:dyDescent="0.3">
      <c r="A171" s="5"/>
      <c r="B171" s="5"/>
      <c r="C171" s="5"/>
      <c r="D171" s="5"/>
      <c r="E171" s="5"/>
      <c r="F171" s="5"/>
    </row>
    <row r="172" spans="1:6" ht="15.75" customHeight="1" x14ac:dyDescent="0.3">
      <c r="A172" s="5"/>
      <c r="B172" s="5"/>
      <c r="C172" s="5"/>
      <c r="D172" s="5"/>
      <c r="E172" s="5"/>
      <c r="F172" s="5"/>
    </row>
    <row r="173" spans="1:6" ht="15.75" customHeight="1" x14ac:dyDescent="0.3">
      <c r="A173" s="5"/>
      <c r="B173" s="5"/>
      <c r="C173" s="5"/>
      <c r="D173" s="5"/>
      <c r="E173" s="5"/>
      <c r="F173" s="5"/>
    </row>
    <row r="174" spans="1:6" ht="15.75" customHeight="1" x14ac:dyDescent="0.3">
      <c r="A174" s="5"/>
      <c r="B174" s="5"/>
      <c r="C174" s="5"/>
      <c r="D174" s="5"/>
      <c r="E174" s="5"/>
      <c r="F174" s="5"/>
    </row>
    <row r="175" spans="1:6" ht="15.75" customHeight="1" x14ac:dyDescent="0.3">
      <c r="A175" s="5"/>
      <c r="B175" s="5"/>
      <c r="C175" s="5"/>
      <c r="D175" s="5"/>
      <c r="E175" s="5"/>
      <c r="F175" s="5"/>
    </row>
    <row r="176" spans="1:6" ht="15.75" customHeight="1" x14ac:dyDescent="0.3">
      <c r="A176" s="5"/>
      <c r="B176" s="5"/>
      <c r="C176" s="5"/>
      <c r="D176" s="5"/>
      <c r="E176" s="5"/>
      <c r="F176" s="5"/>
    </row>
    <row r="177" spans="1:6" ht="15.75" customHeight="1" x14ac:dyDescent="0.3">
      <c r="A177" s="5"/>
      <c r="B177" s="5"/>
      <c r="C177" s="5"/>
      <c r="D177" s="5"/>
      <c r="E177" s="5"/>
      <c r="F177" s="5"/>
    </row>
    <row r="178" spans="1:6" ht="15.75" customHeight="1" x14ac:dyDescent="0.3">
      <c r="A178" s="5"/>
      <c r="B178" s="5"/>
      <c r="C178" s="5"/>
      <c r="D178" s="5"/>
      <c r="E178" s="5"/>
      <c r="F178" s="5"/>
    </row>
    <row r="179" spans="1:6" ht="15.75" customHeight="1" x14ac:dyDescent="0.3">
      <c r="A179" s="5"/>
      <c r="B179" s="5"/>
      <c r="C179" s="5"/>
      <c r="D179" s="5"/>
      <c r="E179" s="5"/>
      <c r="F179" s="5"/>
    </row>
    <row r="180" spans="1:6" ht="15.75" customHeight="1" x14ac:dyDescent="0.3">
      <c r="A180" s="5"/>
      <c r="B180" s="5"/>
      <c r="C180" s="5"/>
      <c r="D180" s="5"/>
      <c r="E180" s="5"/>
      <c r="F180" s="5"/>
    </row>
    <row r="181" spans="1:6" ht="15.75" customHeight="1" x14ac:dyDescent="0.3">
      <c r="A181" s="5"/>
      <c r="B181" s="5"/>
      <c r="C181" s="5"/>
      <c r="D181" s="5"/>
      <c r="E181" s="5"/>
      <c r="F181" s="5"/>
    </row>
    <row r="182" spans="1:6" ht="15.75" customHeight="1" x14ac:dyDescent="0.3">
      <c r="A182" s="5"/>
      <c r="B182" s="5"/>
      <c r="C182" s="5"/>
      <c r="D182" s="5"/>
      <c r="E182" s="5"/>
      <c r="F182" s="5"/>
    </row>
    <row r="183" spans="1:6" ht="15.75" customHeight="1" x14ac:dyDescent="0.3">
      <c r="A183" s="5"/>
      <c r="B183" s="5"/>
      <c r="C183" s="5"/>
      <c r="D183" s="5"/>
      <c r="E183" s="5"/>
      <c r="F183" s="5"/>
    </row>
    <row r="184" spans="1:6" ht="15.75" customHeight="1" x14ac:dyDescent="0.3">
      <c r="A184" s="5"/>
      <c r="B184" s="5"/>
      <c r="C184" s="5"/>
      <c r="D184" s="5"/>
      <c r="E184" s="5"/>
      <c r="F184" s="5"/>
    </row>
    <row r="185" spans="1:6" ht="15.75" customHeight="1" x14ac:dyDescent="0.3">
      <c r="A185" s="5"/>
      <c r="B185" s="5"/>
      <c r="C185" s="5"/>
      <c r="D185" s="5"/>
      <c r="E185" s="5"/>
      <c r="F185" s="5"/>
    </row>
    <row r="186" spans="1:6" ht="15.75" customHeight="1" x14ac:dyDescent="0.3">
      <c r="A186" s="5"/>
      <c r="B186" s="5"/>
      <c r="C186" s="5"/>
      <c r="D186" s="5"/>
      <c r="E186" s="5"/>
      <c r="F186" s="5"/>
    </row>
    <row r="187" spans="1:6" ht="15.75" customHeight="1" x14ac:dyDescent="0.3">
      <c r="A187" s="5"/>
      <c r="B187" s="5"/>
      <c r="C187" s="5"/>
      <c r="D187" s="5"/>
      <c r="E187" s="5"/>
      <c r="F187" s="5"/>
    </row>
    <row r="188" spans="1:6" ht="15.75" customHeight="1" x14ac:dyDescent="0.3">
      <c r="A188" s="5"/>
      <c r="B188" s="5"/>
      <c r="C188" s="5"/>
      <c r="D188" s="5"/>
      <c r="E188" s="5"/>
      <c r="F188" s="5"/>
    </row>
    <row r="189" spans="1:6" ht="15.75" customHeight="1" x14ac:dyDescent="0.3">
      <c r="A189" s="5"/>
      <c r="B189" s="5"/>
      <c r="C189" s="5"/>
      <c r="D189" s="5"/>
      <c r="E189" s="5"/>
      <c r="F189" s="5"/>
    </row>
    <row r="190" spans="1:6" ht="15.75" customHeight="1" x14ac:dyDescent="0.3">
      <c r="A190" s="5"/>
      <c r="B190" s="5"/>
      <c r="C190" s="5"/>
      <c r="D190" s="5"/>
      <c r="E190" s="5"/>
      <c r="F190" s="5"/>
    </row>
    <row r="191" spans="1:6" ht="15.75" customHeight="1" x14ac:dyDescent="0.3">
      <c r="A191" s="5"/>
      <c r="B191" s="5"/>
      <c r="C191" s="5"/>
      <c r="D191" s="5"/>
      <c r="E191" s="5"/>
      <c r="F191" s="5"/>
    </row>
    <row r="192" spans="1:6" ht="15.75" customHeight="1" x14ac:dyDescent="0.3">
      <c r="A192" s="5"/>
      <c r="B192" s="5"/>
      <c r="C192" s="5"/>
      <c r="D192" s="5"/>
      <c r="E192" s="5"/>
      <c r="F192" s="5"/>
    </row>
    <row r="193" spans="1:6" ht="15.75" customHeight="1" x14ac:dyDescent="0.3">
      <c r="A193" s="5"/>
      <c r="B193" s="5"/>
      <c r="C193" s="5"/>
      <c r="D193" s="5"/>
      <c r="E193" s="5"/>
      <c r="F193" s="5"/>
    </row>
    <row r="194" spans="1:6" ht="15.75" customHeight="1" x14ac:dyDescent="0.3">
      <c r="A194" s="5"/>
      <c r="B194" s="5"/>
      <c r="C194" s="5"/>
      <c r="D194" s="5"/>
      <c r="E194" s="5"/>
      <c r="F194" s="5"/>
    </row>
    <row r="195" spans="1:6" ht="15.75" customHeight="1" x14ac:dyDescent="0.3">
      <c r="A195" s="5"/>
      <c r="B195" s="5"/>
      <c r="C195" s="5"/>
      <c r="D195" s="5"/>
      <c r="E195" s="5"/>
      <c r="F195" s="5"/>
    </row>
    <row r="196" spans="1:6" ht="15.75" customHeight="1" x14ac:dyDescent="0.3">
      <c r="A196" s="5"/>
      <c r="B196" s="5"/>
      <c r="C196" s="5"/>
      <c r="D196" s="5"/>
      <c r="E196" s="5"/>
      <c r="F196" s="5"/>
    </row>
    <row r="197" spans="1:6" ht="15.75" customHeight="1" x14ac:dyDescent="0.3">
      <c r="A197" s="5"/>
      <c r="B197" s="5"/>
      <c r="C197" s="5"/>
      <c r="D197" s="5"/>
      <c r="E197" s="5"/>
      <c r="F197" s="5"/>
    </row>
    <row r="198" spans="1:6" ht="15.75" customHeight="1" x14ac:dyDescent="0.3">
      <c r="A198" s="5"/>
      <c r="B198" s="5"/>
      <c r="C198" s="5"/>
      <c r="D198" s="5"/>
      <c r="E198" s="5"/>
      <c r="F198" s="5"/>
    </row>
    <row r="199" spans="1:6" ht="15.75" customHeight="1" x14ac:dyDescent="0.3">
      <c r="A199" s="5"/>
      <c r="B199" s="5"/>
      <c r="C199" s="5"/>
      <c r="D199" s="5"/>
      <c r="E199" s="5"/>
      <c r="F199" s="5"/>
    </row>
    <row r="200" spans="1:6" ht="15.75" customHeight="1" x14ac:dyDescent="0.3">
      <c r="A200" s="5"/>
      <c r="B200" s="5"/>
      <c r="C200" s="5"/>
      <c r="D200" s="5"/>
      <c r="E200" s="5"/>
      <c r="F200" s="5"/>
    </row>
    <row r="201" spans="1:6" ht="15.75" customHeight="1" x14ac:dyDescent="0.3">
      <c r="A201" s="5"/>
      <c r="B201" s="5"/>
      <c r="C201" s="5"/>
      <c r="D201" s="5"/>
      <c r="E201" s="5"/>
      <c r="F201" s="5"/>
    </row>
    <row r="202" spans="1:6" ht="15.75" customHeight="1" x14ac:dyDescent="0.3">
      <c r="A202" s="5"/>
      <c r="B202" s="5"/>
      <c r="C202" s="5"/>
      <c r="D202" s="5"/>
      <c r="E202" s="5"/>
      <c r="F202" s="5"/>
    </row>
    <row r="203" spans="1:6" ht="15.75" customHeight="1" x14ac:dyDescent="0.3">
      <c r="A203" s="5"/>
      <c r="B203" s="5"/>
      <c r="C203" s="5"/>
      <c r="D203" s="5"/>
      <c r="E203" s="5"/>
      <c r="F203" s="5"/>
    </row>
    <row r="204" spans="1:6" ht="15.75" customHeight="1" x14ac:dyDescent="0.3">
      <c r="A204" s="5"/>
      <c r="B204" s="5"/>
      <c r="C204" s="5"/>
      <c r="D204" s="5"/>
      <c r="E204" s="5"/>
      <c r="F204" s="5"/>
    </row>
    <row r="205" spans="1:6" ht="15.75" customHeight="1" x14ac:dyDescent="0.3">
      <c r="A205" s="5"/>
      <c r="B205" s="5"/>
      <c r="C205" s="5"/>
      <c r="D205" s="5"/>
      <c r="E205" s="5"/>
      <c r="F205" s="5"/>
    </row>
    <row r="206" spans="1:6" ht="15.75" customHeight="1" x14ac:dyDescent="0.3">
      <c r="A206" s="5"/>
      <c r="B206" s="5"/>
      <c r="C206" s="5"/>
      <c r="D206" s="5"/>
      <c r="E206" s="5"/>
      <c r="F206" s="5"/>
    </row>
    <row r="207" spans="1:6" ht="15.75" customHeight="1" x14ac:dyDescent="0.3">
      <c r="A207" s="5"/>
      <c r="B207" s="5"/>
      <c r="C207" s="5"/>
      <c r="D207" s="5"/>
      <c r="E207" s="5"/>
      <c r="F207" s="5"/>
    </row>
    <row r="208" spans="1:6" ht="15.75" customHeight="1" x14ac:dyDescent="0.3">
      <c r="A208" s="5"/>
      <c r="B208" s="5"/>
      <c r="C208" s="5"/>
      <c r="D208" s="5"/>
      <c r="E208" s="5"/>
      <c r="F208" s="5"/>
    </row>
    <row r="209" spans="1:6" ht="15.75" customHeight="1" x14ac:dyDescent="0.3">
      <c r="A209" s="5"/>
      <c r="B209" s="5"/>
      <c r="C209" s="5"/>
      <c r="D209" s="5"/>
      <c r="E209" s="5"/>
      <c r="F209" s="5"/>
    </row>
    <row r="210" spans="1:6" ht="15.75" customHeight="1" x14ac:dyDescent="0.3">
      <c r="A210" s="5"/>
      <c r="B210" s="5"/>
      <c r="C210" s="5"/>
      <c r="D210" s="5"/>
      <c r="E210" s="5"/>
      <c r="F210" s="5"/>
    </row>
    <row r="211" spans="1:6" ht="15.75" customHeight="1" x14ac:dyDescent="0.3">
      <c r="A211" s="5"/>
      <c r="B211" s="5"/>
      <c r="C211" s="5"/>
      <c r="D211" s="5"/>
      <c r="E211" s="5"/>
      <c r="F211" s="5"/>
    </row>
    <row r="212" spans="1:6" ht="15.75" customHeight="1" x14ac:dyDescent="0.3">
      <c r="A212" s="5"/>
      <c r="B212" s="5"/>
      <c r="C212" s="5"/>
      <c r="D212" s="5"/>
      <c r="E212" s="5"/>
      <c r="F212" s="5"/>
    </row>
    <row r="213" spans="1:6" ht="15.75" customHeight="1" x14ac:dyDescent="0.3">
      <c r="A213" s="5"/>
      <c r="B213" s="5"/>
      <c r="C213" s="5"/>
      <c r="D213" s="5"/>
      <c r="E213" s="5"/>
      <c r="F213" s="5"/>
    </row>
    <row r="214" spans="1:6" ht="15.75" customHeight="1" x14ac:dyDescent="0.3">
      <c r="A214" s="5"/>
      <c r="B214" s="5"/>
      <c r="C214" s="5"/>
      <c r="D214" s="5"/>
      <c r="E214" s="5"/>
      <c r="F214" s="5"/>
    </row>
    <row r="215" spans="1:6" ht="15.75" customHeight="1" x14ac:dyDescent="0.3">
      <c r="A215" s="5"/>
      <c r="B215" s="5"/>
      <c r="C215" s="5"/>
      <c r="D215" s="5"/>
      <c r="E215" s="5"/>
      <c r="F215" s="5"/>
    </row>
    <row r="216" spans="1:6" ht="15.75" customHeight="1" x14ac:dyDescent="0.3">
      <c r="A216" s="5"/>
      <c r="B216" s="5"/>
      <c r="C216" s="5"/>
      <c r="D216" s="5"/>
      <c r="E216" s="5"/>
      <c r="F216" s="5"/>
    </row>
    <row r="217" spans="1:6" ht="15.75" customHeight="1" x14ac:dyDescent="0.3">
      <c r="A217" s="5"/>
      <c r="B217" s="5"/>
      <c r="C217" s="5"/>
      <c r="D217" s="5"/>
      <c r="E217" s="5"/>
      <c r="F217" s="5"/>
    </row>
    <row r="218" spans="1:6" ht="15.75" customHeight="1" x14ac:dyDescent="0.3">
      <c r="A218" s="5"/>
      <c r="B218" s="5"/>
      <c r="C218" s="5"/>
      <c r="D218" s="5"/>
      <c r="E218" s="5"/>
      <c r="F218" s="5"/>
    </row>
    <row r="219" spans="1:6" ht="15.75" customHeight="1" x14ac:dyDescent="0.3">
      <c r="A219" s="5"/>
      <c r="B219" s="5"/>
      <c r="C219" s="5"/>
      <c r="D219" s="5"/>
      <c r="E219" s="5"/>
      <c r="F219" s="5"/>
    </row>
    <row r="220" spans="1:6" ht="15.75" customHeight="1" x14ac:dyDescent="0.3">
      <c r="A220" s="5"/>
      <c r="B220" s="5"/>
      <c r="C220" s="5"/>
      <c r="D220" s="5"/>
      <c r="E220" s="5"/>
      <c r="F220" s="5"/>
    </row>
    <row r="221" spans="1:6" ht="15.75" customHeight="1" x14ac:dyDescent="0.3">
      <c r="A221" s="5"/>
      <c r="B221" s="5"/>
      <c r="C221" s="5"/>
      <c r="D221" s="5"/>
      <c r="E221" s="5"/>
      <c r="F221" s="5"/>
    </row>
    <row r="222" spans="1:6" ht="15.75" customHeight="1" x14ac:dyDescent="0.3">
      <c r="A222" s="5"/>
      <c r="B222" s="5"/>
      <c r="C222" s="5"/>
      <c r="D222" s="5"/>
      <c r="E222" s="5"/>
      <c r="F222" s="5"/>
    </row>
    <row r="223" spans="1:6" ht="15.75" customHeight="1" x14ac:dyDescent="0.3">
      <c r="A223" s="5"/>
      <c r="B223" s="5"/>
      <c r="C223" s="5"/>
      <c r="D223" s="5"/>
      <c r="E223" s="5"/>
      <c r="F223" s="5"/>
    </row>
    <row r="224" spans="1:6" ht="15.75" customHeight="1" x14ac:dyDescent="0.3">
      <c r="A224" s="5"/>
      <c r="B224" s="5"/>
      <c r="C224" s="5"/>
      <c r="D224" s="5"/>
      <c r="E224" s="5"/>
      <c r="F224" s="5"/>
    </row>
    <row r="225" spans="1:6" ht="15.75" customHeight="1" x14ac:dyDescent="0.3">
      <c r="A225" s="5"/>
      <c r="B225" s="5"/>
      <c r="C225" s="5"/>
      <c r="D225" s="5"/>
      <c r="E225" s="5"/>
      <c r="F225" s="5"/>
    </row>
    <row r="226" spans="1:6" ht="15.75" customHeight="1" x14ac:dyDescent="0.3">
      <c r="A226" s="5"/>
      <c r="B226" s="5"/>
      <c r="C226" s="5"/>
      <c r="D226" s="5"/>
      <c r="E226" s="5"/>
      <c r="F226" s="5"/>
    </row>
    <row r="227" spans="1:6" ht="15.75" customHeight="1" x14ac:dyDescent="0.3">
      <c r="A227" s="5"/>
      <c r="B227" s="5"/>
      <c r="C227" s="5"/>
      <c r="D227" s="5"/>
      <c r="E227" s="5"/>
      <c r="F227" s="5"/>
    </row>
    <row r="228" spans="1:6" ht="15.75" customHeight="1" x14ac:dyDescent="0.3">
      <c r="A228" s="5"/>
      <c r="B228" s="5"/>
      <c r="C228" s="5"/>
      <c r="D228" s="5"/>
      <c r="E228" s="5"/>
      <c r="F228" s="5"/>
    </row>
    <row r="229" spans="1:6" ht="15.75" customHeight="1" x14ac:dyDescent="0.3">
      <c r="A229" s="5"/>
      <c r="B229" s="5"/>
      <c r="C229" s="5"/>
      <c r="D229" s="5"/>
      <c r="E229" s="5"/>
      <c r="F229" s="5"/>
    </row>
    <row r="230" spans="1:6" ht="15.75" customHeight="1" x14ac:dyDescent="0.3">
      <c r="A230" s="5"/>
      <c r="B230" s="5"/>
      <c r="C230" s="5"/>
      <c r="D230" s="5"/>
      <c r="E230" s="5"/>
      <c r="F230" s="5"/>
    </row>
    <row r="231" spans="1:6" ht="15.75" customHeight="1" x14ac:dyDescent="0.3">
      <c r="A231" s="5"/>
      <c r="B231" s="5"/>
      <c r="C231" s="5"/>
      <c r="D231" s="5"/>
      <c r="E231" s="5"/>
      <c r="F231" s="5"/>
    </row>
    <row r="232" spans="1:6" ht="15.75" customHeight="1" x14ac:dyDescent="0.3">
      <c r="A232" s="5"/>
      <c r="B232" s="5"/>
      <c r="C232" s="5"/>
      <c r="D232" s="5"/>
      <c r="E232" s="5"/>
      <c r="F232" s="5"/>
    </row>
    <row r="233" spans="1:6" ht="15.75" customHeight="1" x14ac:dyDescent="0.3">
      <c r="A233" s="5"/>
      <c r="B233" s="5"/>
      <c r="C233" s="5"/>
      <c r="D233" s="5"/>
      <c r="E233" s="5"/>
      <c r="F233" s="5"/>
    </row>
    <row r="234" spans="1:6" ht="15.75" customHeight="1" x14ac:dyDescent="0.3">
      <c r="A234" s="5"/>
      <c r="B234" s="5"/>
      <c r="C234" s="5"/>
      <c r="D234" s="5"/>
      <c r="E234" s="5"/>
      <c r="F234" s="5"/>
    </row>
    <row r="235" spans="1:6" ht="15.75" customHeight="1" x14ac:dyDescent="0.3">
      <c r="A235" s="5"/>
      <c r="B235" s="5"/>
      <c r="C235" s="5"/>
      <c r="D235" s="5"/>
      <c r="E235" s="5"/>
      <c r="F235" s="5"/>
    </row>
    <row r="236" spans="1:6" ht="15.75" customHeight="1" x14ac:dyDescent="0.3">
      <c r="A236" s="5"/>
      <c r="B236" s="5"/>
      <c r="C236" s="5"/>
      <c r="D236" s="5"/>
      <c r="E236" s="5"/>
      <c r="F236" s="5"/>
    </row>
    <row r="237" spans="1:6" ht="15.75" customHeight="1" x14ac:dyDescent="0.3">
      <c r="A237" s="5"/>
      <c r="B237" s="5"/>
      <c r="C237" s="5"/>
      <c r="D237" s="5"/>
      <c r="E237" s="5"/>
      <c r="F237" s="5"/>
    </row>
    <row r="238" spans="1:6" ht="15.75" customHeight="1" x14ac:dyDescent="0.3">
      <c r="A238" s="5"/>
      <c r="B238" s="5"/>
      <c r="C238" s="5"/>
      <c r="D238" s="5"/>
      <c r="E238" s="5"/>
      <c r="F238" s="5"/>
    </row>
    <row r="239" spans="1:6" ht="15.75" customHeight="1" x14ac:dyDescent="0.3">
      <c r="A239" s="5"/>
      <c r="B239" s="5"/>
      <c r="C239" s="5"/>
      <c r="D239" s="5"/>
      <c r="E239" s="5"/>
      <c r="F239" s="5"/>
    </row>
    <row r="240" spans="1:6" ht="15.75" customHeight="1" x14ac:dyDescent="0.3">
      <c r="A240" s="5"/>
      <c r="B240" s="5"/>
      <c r="C240" s="5"/>
      <c r="D240" s="5"/>
      <c r="E240" s="5"/>
      <c r="F240" s="5"/>
    </row>
    <row r="241" spans="1:6" ht="15.75" customHeight="1" x14ac:dyDescent="0.3">
      <c r="A241" s="5"/>
      <c r="B241" s="5"/>
      <c r="C241" s="5"/>
      <c r="D241" s="5"/>
      <c r="E241" s="5"/>
      <c r="F241" s="5"/>
    </row>
    <row r="242" spans="1:6" ht="15.75" customHeight="1" x14ac:dyDescent="0.3">
      <c r="A242" s="5"/>
      <c r="B242" s="5"/>
      <c r="C242" s="5"/>
      <c r="D242" s="5"/>
      <c r="E242" s="5"/>
      <c r="F242" s="5"/>
    </row>
    <row r="243" spans="1:6" ht="15.75" customHeight="1" x14ac:dyDescent="0.3">
      <c r="A243" s="5"/>
      <c r="B243" s="5"/>
      <c r="C243" s="5"/>
      <c r="D243" s="5"/>
      <c r="E243" s="5"/>
      <c r="F243" s="5"/>
    </row>
    <row r="244" spans="1:6" ht="15.75" customHeight="1" x14ac:dyDescent="0.3">
      <c r="A244" s="5"/>
      <c r="B244" s="5"/>
      <c r="C244" s="5"/>
      <c r="D244" s="5"/>
      <c r="E244" s="5"/>
      <c r="F244" s="5"/>
    </row>
    <row r="245" spans="1:6" ht="15.75" customHeight="1" x14ac:dyDescent="0.3">
      <c r="A245" s="5"/>
      <c r="B245" s="5"/>
      <c r="C245" s="5"/>
      <c r="D245" s="5"/>
      <c r="E245" s="5"/>
      <c r="F245" s="5"/>
    </row>
    <row r="246" spans="1:6" ht="15.75" customHeight="1" x14ac:dyDescent="0.3">
      <c r="A246" s="5"/>
      <c r="B246" s="5"/>
      <c r="C246" s="5"/>
      <c r="D246" s="5"/>
      <c r="E246" s="5"/>
      <c r="F246" s="5"/>
    </row>
    <row r="247" spans="1:6" ht="15.75" customHeight="1" x14ac:dyDescent="0.3">
      <c r="A247" s="5"/>
      <c r="B247" s="5"/>
      <c r="C247" s="5"/>
      <c r="D247" s="5"/>
      <c r="E247" s="5"/>
      <c r="F247" s="5"/>
    </row>
    <row r="248" spans="1:6" ht="15.75" customHeight="1" x14ac:dyDescent="0.3">
      <c r="A248" s="5"/>
      <c r="B248" s="5"/>
      <c r="C248" s="5"/>
      <c r="D248" s="5"/>
      <c r="E248" s="5"/>
      <c r="F248" s="5"/>
    </row>
    <row r="249" spans="1:6" ht="15.75" customHeight="1" x14ac:dyDescent="0.3">
      <c r="A249" s="5"/>
      <c r="B249" s="5"/>
      <c r="C249" s="5"/>
      <c r="D249" s="5"/>
      <c r="E249" s="5"/>
      <c r="F249" s="5"/>
    </row>
    <row r="250" spans="1:6" ht="15.75" customHeight="1" x14ac:dyDescent="0.3">
      <c r="A250" s="5"/>
      <c r="B250" s="5"/>
      <c r="C250" s="5"/>
      <c r="D250" s="5"/>
      <c r="E250" s="5"/>
      <c r="F250" s="5"/>
    </row>
    <row r="251" spans="1:6" ht="15.75" customHeight="1" x14ac:dyDescent="0.3">
      <c r="A251" s="5"/>
      <c r="B251" s="5"/>
      <c r="C251" s="5"/>
      <c r="D251" s="5"/>
      <c r="E251" s="5"/>
      <c r="F251" s="5"/>
    </row>
    <row r="252" spans="1:6" ht="15.75" customHeight="1" x14ac:dyDescent="0.3">
      <c r="A252" s="5"/>
      <c r="B252" s="5"/>
      <c r="C252" s="5"/>
      <c r="D252" s="5"/>
      <c r="E252" s="5"/>
      <c r="F252" s="5"/>
    </row>
    <row r="253" spans="1:6" ht="15.75" customHeight="1" x14ac:dyDescent="0.3">
      <c r="A253" s="5"/>
      <c r="B253" s="5"/>
      <c r="C253" s="5"/>
      <c r="D253" s="5"/>
      <c r="E253" s="5"/>
      <c r="F253" s="5"/>
    </row>
    <row r="254" spans="1:6" ht="15.75" customHeight="1" x14ac:dyDescent="0.3">
      <c r="A254" s="5"/>
      <c r="B254" s="5"/>
      <c r="C254" s="5"/>
      <c r="D254" s="5"/>
      <c r="E254" s="5"/>
      <c r="F254" s="5"/>
    </row>
    <row r="255" spans="1:6" ht="15.75" customHeight="1" x14ac:dyDescent="0.3">
      <c r="A255" s="5"/>
      <c r="B255" s="5"/>
      <c r="C255" s="5"/>
      <c r="D255" s="5"/>
      <c r="E255" s="5"/>
      <c r="F255" s="5"/>
    </row>
    <row r="256" spans="1:6" ht="15.75" customHeight="1" x14ac:dyDescent="0.3">
      <c r="A256" s="5"/>
      <c r="B256" s="5"/>
      <c r="C256" s="5"/>
      <c r="D256" s="5"/>
      <c r="E256" s="5"/>
      <c r="F256" s="5"/>
    </row>
    <row r="257" spans="1:6" ht="15.75" customHeight="1" x14ac:dyDescent="0.3">
      <c r="A257" s="5"/>
      <c r="B257" s="5"/>
      <c r="C257" s="5"/>
      <c r="D257" s="5"/>
      <c r="E257" s="5"/>
      <c r="F257" s="5"/>
    </row>
    <row r="258" spans="1:6" ht="15.75" customHeight="1" x14ac:dyDescent="0.3">
      <c r="A258" s="5"/>
      <c r="B258" s="5"/>
      <c r="C258" s="5"/>
      <c r="D258" s="5"/>
      <c r="E258" s="5"/>
      <c r="F258" s="5"/>
    </row>
    <row r="259" spans="1:6" ht="15.75" customHeight="1" x14ac:dyDescent="0.3">
      <c r="A259" s="5"/>
      <c r="B259" s="5"/>
      <c r="C259" s="5"/>
      <c r="D259" s="5"/>
      <c r="E259" s="5"/>
      <c r="F259" s="5"/>
    </row>
    <row r="260" spans="1:6" ht="15.75" customHeight="1" x14ac:dyDescent="0.3">
      <c r="A260" s="5"/>
      <c r="B260" s="5"/>
      <c r="C260" s="5"/>
      <c r="D260" s="5"/>
      <c r="E260" s="5"/>
      <c r="F260" s="5"/>
    </row>
    <row r="261" spans="1:6" ht="15.75" customHeight="1" x14ac:dyDescent="0.3">
      <c r="A261" s="5"/>
      <c r="B261" s="5"/>
      <c r="C261" s="5"/>
      <c r="D261" s="5"/>
      <c r="E261" s="5"/>
      <c r="F261" s="5"/>
    </row>
    <row r="262" spans="1:6" ht="15.75" customHeight="1" x14ac:dyDescent="0.3">
      <c r="A262" s="5"/>
      <c r="B262" s="5"/>
      <c r="C262" s="5"/>
      <c r="D262" s="5"/>
      <c r="E262" s="5"/>
      <c r="F262" s="5"/>
    </row>
    <row r="263" spans="1:6" ht="15.75" customHeight="1" x14ac:dyDescent="0.3">
      <c r="A263" s="5"/>
      <c r="B263" s="5"/>
      <c r="C263" s="5"/>
      <c r="D263" s="5"/>
      <c r="E263" s="5"/>
      <c r="F263" s="5"/>
    </row>
    <row r="264" spans="1:6" ht="15.75" customHeight="1" x14ac:dyDescent="0.3">
      <c r="A264" s="5"/>
      <c r="B264" s="5"/>
      <c r="C264" s="5"/>
      <c r="D264" s="5"/>
      <c r="E264" s="5"/>
      <c r="F264" s="5"/>
    </row>
    <row r="265" spans="1:6" ht="15.75" customHeight="1" x14ac:dyDescent="0.3">
      <c r="A265" s="5"/>
      <c r="B265" s="5"/>
      <c r="C265" s="5"/>
      <c r="D265" s="5"/>
      <c r="E265" s="5"/>
      <c r="F265" s="5"/>
    </row>
    <row r="266" spans="1:6" ht="15.75" customHeight="1" x14ac:dyDescent="0.3">
      <c r="A266" s="5"/>
      <c r="B266" s="5"/>
      <c r="C266" s="5"/>
      <c r="D266" s="5"/>
      <c r="E266" s="5"/>
      <c r="F266" s="5"/>
    </row>
    <row r="267" spans="1:6" ht="15.75" customHeight="1" x14ac:dyDescent="0.3">
      <c r="A267" s="5"/>
      <c r="B267" s="5"/>
      <c r="C267" s="5"/>
      <c r="D267" s="5"/>
      <c r="E267" s="5"/>
      <c r="F267" s="5"/>
    </row>
    <row r="268" spans="1:6" ht="15.75" customHeight="1" x14ac:dyDescent="0.3">
      <c r="A268" s="5"/>
      <c r="B268" s="5"/>
      <c r="C268" s="5"/>
      <c r="D268" s="5"/>
      <c r="E268" s="5"/>
      <c r="F268" s="5"/>
    </row>
    <row r="269" spans="1:6" ht="15.75" customHeight="1" x14ac:dyDescent="0.3">
      <c r="A269" s="5"/>
      <c r="B269" s="5"/>
      <c r="C269" s="5"/>
      <c r="D269" s="5"/>
      <c r="E269" s="5"/>
      <c r="F269" s="5"/>
    </row>
    <row r="270" spans="1:6" ht="15.75" customHeight="1" x14ac:dyDescent="0.3">
      <c r="A270" s="5"/>
      <c r="B270" s="5"/>
      <c r="C270" s="5"/>
      <c r="D270" s="5"/>
      <c r="E270" s="5"/>
      <c r="F270" s="5"/>
    </row>
    <row r="271" spans="1:6" ht="15.75" customHeight="1" x14ac:dyDescent="0.3">
      <c r="A271" s="5"/>
      <c r="B271" s="5"/>
      <c r="C271" s="5"/>
      <c r="D271" s="5"/>
      <c r="E271" s="5"/>
      <c r="F271" s="5"/>
    </row>
    <row r="272" spans="1:6" ht="15.75" customHeight="1" x14ac:dyDescent="0.3">
      <c r="A272" s="5"/>
      <c r="B272" s="5"/>
      <c r="C272" s="5"/>
      <c r="D272" s="5"/>
      <c r="E272" s="5"/>
      <c r="F272" s="5"/>
    </row>
    <row r="273" spans="1:6" ht="15.75" customHeight="1" x14ac:dyDescent="0.3">
      <c r="A273" s="5"/>
      <c r="B273" s="5"/>
      <c r="C273" s="5"/>
      <c r="D273" s="5"/>
      <c r="E273" s="5"/>
      <c r="F273" s="5"/>
    </row>
    <row r="274" spans="1:6" ht="15.75" customHeight="1" x14ac:dyDescent="0.3">
      <c r="A274" s="5"/>
      <c r="B274" s="5"/>
      <c r="C274" s="5"/>
      <c r="D274" s="5"/>
      <c r="E274" s="5"/>
      <c r="F274" s="5"/>
    </row>
    <row r="275" spans="1:6" ht="15.75" customHeight="1" x14ac:dyDescent="0.3">
      <c r="A275" s="5"/>
      <c r="B275" s="5"/>
      <c r="C275" s="5"/>
      <c r="D275" s="5"/>
      <c r="E275" s="5"/>
      <c r="F275" s="5"/>
    </row>
    <row r="276" spans="1:6" ht="15.75" customHeight="1" x14ac:dyDescent="0.3">
      <c r="A276" s="5"/>
      <c r="B276" s="5"/>
      <c r="C276" s="5"/>
      <c r="D276" s="5"/>
      <c r="E276" s="5"/>
      <c r="F276" s="5"/>
    </row>
    <row r="277" spans="1:6" ht="15.75" customHeight="1" x14ac:dyDescent="0.3">
      <c r="A277" s="5"/>
      <c r="B277" s="5"/>
      <c r="C277" s="5"/>
      <c r="D277" s="5"/>
      <c r="E277" s="5"/>
      <c r="F277" s="5"/>
    </row>
    <row r="278" spans="1:6" ht="15.75" customHeight="1" x14ac:dyDescent="0.3">
      <c r="A278" s="5"/>
      <c r="B278" s="5"/>
      <c r="C278" s="5"/>
      <c r="D278" s="5"/>
      <c r="E278" s="5"/>
      <c r="F278" s="5"/>
    </row>
    <row r="279" spans="1:6" ht="15.75" customHeight="1" x14ac:dyDescent="0.3">
      <c r="A279" s="5"/>
      <c r="B279" s="5"/>
      <c r="C279" s="5"/>
      <c r="D279" s="5"/>
      <c r="E279" s="5"/>
      <c r="F279" s="5"/>
    </row>
    <row r="280" spans="1:6" ht="15.75" customHeight="1" x14ac:dyDescent="0.3">
      <c r="A280" s="5"/>
      <c r="B280" s="5"/>
      <c r="C280" s="5"/>
      <c r="D280" s="5"/>
      <c r="E280" s="5"/>
      <c r="F280" s="5"/>
    </row>
    <row r="281" spans="1:6" ht="15.75" customHeight="1" x14ac:dyDescent="0.3">
      <c r="A281" s="5"/>
      <c r="B281" s="5"/>
      <c r="C281" s="5"/>
      <c r="D281" s="5"/>
      <c r="E281" s="5"/>
      <c r="F281" s="5"/>
    </row>
    <row r="282" spans="1:6" ht="15.75" customHeight="1" x14ac:dyDescent="0.3">
      <c r="A282" s="5"/>
      <c r="B282" s="5"/>
      <c r="C282" s="5"/>
      <c r="D282" s="5"/>
      <c r="E282" s="5"/>
      <c r="F282" s="5"/>
    </row>
    <row r="283" spans="1:6" ht="15.75" customHeight="1" x14ac:dyDescent="0.3">
      <c r="A283" s="5"/>
      <c r="B283" s="5"/>
      <c r="C283" s="5"/>
      <c r="D283" s="5"/>
      <c r="E283" s="5"/>
      <c r="F283" s="5"/>
    </row>
    <row r="284" spans="1:6" ht="15.75" customHeight="1" x14ac:dyDescent="0.3">
      <c r="A284" s="5"/>
      <c r="B284" s="5"/>
      <c r="C284" s="5"/>
      <c r="D284" s="5"/>
      <c r="E284" s="5"/>
      <c r="F284" s="5"/>
    </row>
    <row r="285" spans="1:6" ht="15.75" customHeight="1" x14ac:dyDescent="0.3">
      <c r="A285" s="5"/>
      <c r="B285" s="5"/>
      <c r="C285" s="5"/>
      <c r="D285" s="5"/>
      <c r="E285" s="5"/>
      <c r="F285" s="5"/>
    </row>
    <row r="286" spans="1:6" ht="15.75" customHeight="1" x14ac:dyDescent="0.3">
      <c r="A286" s="5"/>
      <c r="B286" s="5"/>
      <c r="C286" s="5"/>
      <c r="D286" s="5"/>
      <c r="E286" s="5"/>
      <c r="F286" s="5"/>
    </row>
    <row r="287" spans="1:6" ht="15.75" customHeight="1" x14ac:dyDescent="0.3">
      <c r="A287" s="5"/>
      <c r="B287" s="5"/>
      <c r="C287" s="5"/>
      <c r="D287" s="5"/>
      <c r="E287" s="5"/>
      <c r="F287" s="5"/>
    </row>
    <row r="288" spans="1:6" ht="15.75" customHeight="1" x14ac:dyDescent="0.3">
      <c r="A288" s="5"/>
      <c r="B288" s="5"/>
      <c r="C288" s="5"/>
      <c r="D288" s="5"/>
      <c r="E288" s="5"/>
      <c r="F288" s="5"/>
    </row>
    <row r="289" spans="1:6" ht="15.75" customHeight="1" x14ac:dyDescent="0.3">
      <c r="A289" s="5"/>
      <c r="B289" s="5"/>
      <c r="C289" s="5"/>
      <c r="D289" s="5"/>
      <c r="E289" s="5"/>
      <c r="F289" s="5"/>
    </row>
    <row r="290" spans="1:6" ht="15.75" customHeight="1" x14ac:dyDescent="0.3">
      <c r="A290" s="5"/>
      <c r="B290" s="5"/>
      <c r="C290" s="5"/>
      <c r="D290" s="5"/>
      <c r="E290" s="5"/>
      <c r="F290" s="5"/>
    </row>
    <row r="291" spans="1:6" ht="15.75" customHeight="1" x14ac:dyDescent="0.3">
      <c r="A291" s="5"/>
      <c r="B291" s="5"/>
      <c r="C291" s="5"/>
      <c r="D291" s="5"/>
      <c r="E291" s="5"/>
      <c r="F291" s="5"/>
    </row>
    <row r="292" spans="1:6" ht="15.75" customHeight="1" x14ac:dyDescent="0.3">
      <c r="A292" s="5"/>
      <c r="B292" s="5"/>
      <c r="C292" s="5"/>
      <c r="D292" s="5"/>
      <c r="E292" s="5"/>
      <c r="F292" s="5"/>
    </row>
    <row r="293" spans="1:6" ht="15.75" customHeight="1" x14ac:dyDescent="0.3">
      <c r="A293" s="5"/>
      <c r="B293" s="5"/>
      <c r="C293" s="5"/>
      <c r="D293" s="5"/>
      <c r="E293" s="5"/>
      <c r="F293" s="5"/>
    </row>
    <row r="294" spans="1:6" ht="15.75" customHeight="1" x14ac:dyDescent="0.3">
      <c r="A294" s="5"/>
      <c r="B294" s="5"/>
      <c r="C294" s="5"/>
      <c r="D294" s="5"/>
      <c r="E294" s="5"/>
      <c r="F294" s="5"/>
    </row>
    <row r="295" spans="1:6" ht="15.75" customHeight="1" x14ac:dyDescent="0.3">
      <c r="A295" s="5"/>
      <c r="B295" s="5"/>
      <c r="C295" s="5"/>
      <c r="D295" s="5"/>
      <c r="E295" s="5"/>
      <c r="F295" s="5"/>
    </row>
    <row r="296" spans="1:6" ht="15.75" customHeight="1" x14ac:dyDescent="0.3">
      <c r="A296" s="5"/>
      <c r="B296" s="5"/>
      <c r="C296" s="5"/>
      <c r="D296" s="5"/>
      <c r="E296" s="5"/>
      <c r="F296" s="5"/>
    </row>
    <row r="297" spans="1:6" ht="15.75" customHeight="1" x14ac:dyDescent="0.3">
      <c r="A297" s="5"/>
      <c r="B297" s="5"/>
      <c r="C297" s="5"/>
      <c r="D297" s="5"/>
      <c r="E297" s="5"/>
      <c r="F297" s="5"/>
    </row>
    <row r="298" spans="1:6" ht="15.75" customHeight="1" x14ac:dyDescent="0.3">
      <c r="A298" s="5"/>
      <c r="B298" s="5"/>
      <c r="C298" s="5"/>
      <c r="D298" s="5"/>
      <c r="E298" s="5"/>
      <c r="F298" s="5"/>
    </row>
    <row r="299" spans="1:6" ht="15.75" customHeight="1" x14ac:dyDescent="0.3">
      <c r="A299" s="5"/>
      <c r="B299" s="5"/>
      <c r="C299" s="5"/>
      <c r="D299" s="5"/>
      <c r="E299" s="5"/>
      <c r="F299" s="5"/>
    </row>
    <row r="300" spans="1:6" ht="15.75" customHeight="1" x14ac:dyDescent="0.3">
      <c r="A300" s="5"/>
      <c r="B300" s="5"/>
      <c r="C300" s="5"/>
      <c r="D300" s="5"/>
      <c r="E300" s="5"/>
      <c r="F300" s="5"/>
    </row>
    <row r="301" spans="1:6" ht="15.75" customHeight="1" x14ac:dyDescent="0.3">
      <c r="A301" s="5"/>
      <c r="B301" s="5"/>
      <c r="C301" s="5"/>
      <c r="D301" s="5"/>
      <c r="E301" s="5"/>
      <c r="F301" s="5"/>
    </row>
    <row r="302" spans="1:6" ht="15.75" customHeight="1" x14ac:dyDescent="0.3">
      <c r="A302" s="5"/>
      <c r="B302" s="5"/>
      <c r="C302" s="5"/>
      <c r="D302" s="5"/>
      <c r="E302" s="5"/>
      <c r="F302" s="5"/>
    </row>
    <row r="303" spans="1:6" ht="15.75" customHeight="1" x14ac:dyDescent="0.3">
      <c r="A303" s="5"/>
      <c r="B303" s="5"/>
      <c r="C303" s="5"/>
      <c r="D303" s="5"/>
      <c r="E303" s="5"/>
      <c r="F303" s="5"/>
    </row>
    <row r="304" spans="1:6" ht="15.75" customHeight="1" x14ac:dyDescent="0.3">
      <c r="A304" s="5"/>
      <c r="B304" s="5"/>
      <c r="C304" s="5"/>
      <c r="D304" s="5"/>
      <c r="E304" s="5"/>
      <c r="F304" s="5"/>
    </row>
    <row r="305" spans="1:6" ht="15.75" customHeight="1" x14ac:dyDescent="0.3">
      <c r="A305" s="5"/>
      <c r="B305" s="5"/>
      <c r="C305" s="5"/>
      <c r="D305" s="5"/>
      <c r="E305" s="5"/>
      <c r="F305" s="5"/>
    </row>
    <row r="306" spans="1:6" ht="15.75" customHeight="1" x14ac:dyDescent="0.3">
      <c r="A306" s="5"/>
      <c r="B306" s="5"/>
      <c r="C306" s="5"/>
      <c r="D306" s="5"/>
      <c r="E306" s="5"/>
      <c r="F306" s="5"/>
    </row>
    <row r="307" spans="1:6" ht="15.75" customHeight="1" x14ac:dyDescent="0.3">
      <c r="A307" s="5"/>
      <c r="B307" s="5"/>
      <c r="C307" s="5"/>
      <c r="D307" s="5"/>
      <c r="E307" s="5"/>
      <c r="F307" s="5"/>
    </row>
    <row r="308" spans="1:6" ht="15.75" customHeight="1" x14ac:dyDescent="0.3">
      <c r="A308" s="5"/>
      <c r="B308" s="5"/>
      <c r="C308" s="5"/>
      <c r="D308" s="5"/>
      <c r="E308" s="5"/>
      <c r="F308" s="5"/>
    </row>
    <row r="309" spans="1:6" ht="15.75" customHeight="1" x14ac:dyDescent="0.3">
      <c r="A309" s="5"/>
      <c r="B309" s="5"/>
      <c r="C309" s="5"/>
      <c r="D309" s="5"/>
      <c r="E309" s="5"/>
      <c r="F309" s="5"/>
    </row>
    <row r="310" spans="1:6" ht="15.75" customHeight="1" x14ac:dyDescent="0.3">
      <c r="A310" s="5"/>
      <c r="B310" s="5"/>
      <c r="C310" s="5"/>
      <c r="D310" s="5"/>
      <c r="E310" s="5"/>
      <c r="F310" s="5"/>
    </row>
    <row r="311" spans="1:6" ht="15.75" customHeight="1" x14ac:dyDescent="0.3">
      <c r="A311" s="5"/>
      <c r="B311" s="5"/>
      <c r="C311" s="5"/>
      <c r="D311" s="5"/>
      <c r="E311" s="5"/>
      <c r="F311" s="5"/>
    </row>
    <row r="312" spans="1:6" ht="15.75" customHeight="1" x14ac:dyDescent="0.3">
      <c r="A312" s="5"/>
      <c r="B312" s="5"/>
      <c r="C312" s="5"/>
      <c r="D312" s="5"/>
      <c r="E312" s="5"/>
      <c r="F312" s="5"/>
    </row>
    <row r="313" spans="1:6" ht="15.75" customHeight="1" x14ac:dyDescent="0.3">
      <c r="A313" s="5"/>
      <c r="B313" s="5"/>
      <c r="C313" s="5"/>
      <c r="D313" s="5"/>
      <c r="E313" s="5"/>
      <c r="F313" s="5"/>
    </row>
    <row r="314" spans="1:6" ht="15.75" customHeight="1" x14ac:dyDescent="0.3">
      <c r="A314" s="5"/>
      <c r="B314" s="5"/>
      <c r="C314" s="5"/>
      <c r="D314" s="5"/>
      <c r="E314" s="5"/>
      <c r="F314" s="5"/>
    </row>
    <row r="315" spans="1:6" ht="15.75" customHeight="1" x14ac:dyDescent="0.3">
      <c r="A315" s="5"/>
      <c r="B315" s="5"/>
      <c r="C315" s="5"/>
      <c r="D315" s="5"/>
      <c r="E315" s="5"/>
      <c r="F315" s="5"/>
    </row>
    <row r="316" spans="1:6" ht="15.75" customHeight="1" x14ac:dyDescent="0.3">
      <c r="A316" s="5"/>
      <c r="B316" s="5"/>
      <c r="C316" s="5"/>
      <c r="D316" s="5"/>
      <c r="E316" s="5"/>
      <c r="F316" s="5"/>
    </row>
    <row r="317" spans="1:6" ht="15.75" customHeight="1" x14ac:dyDescent="0.3">
      <c r="A317" s="5"/>
      <c r="B317" s="5"/>
      <c r="C317" s="5"/>
      <c r="D317" s="5"/>
      <c r="E317" s="5"/>
      <c r="F317" s="5"/>
    </row>
    <row r="318" spans="1:6" ht="15.75" customHeight="1" x14ac:dyDescent="0.3">
      <c r="A318" s="5"/>
      <c r="B318" s="5"/>
      <c r="C318" s="5"/>
      <c r="D318" s="5"/>
      <c r="E318" s="5"/>
      <c r="F318" s="5"/>
    </row>
    <row r="319" spans="1:6" ht="15.75" customHeight="1" x14ac:dyDescent="0.3">
      <c r="A319" s="5"/>
      <c r="B319" s="5"/>
      <c r="C319" s="5"/>
      <c r="D319" s="5"/>
      <c r="E319" s="5"/>
      <c r="F319" s="5"/>
    </row>
    <row r="320" spans="1:6" ht="15.75" customHeight="1" x14ac:dyDescent="0.3">
      <c r="A320" s="5"/>
      <c r="B320" s="5"/>
      <c r="C320" s="5"/>
      <c r="D320" s="5"/>
      <c r="E320" s="5"/>
      <c r="F320" s="5"/>
    </row>
    <row r="321" spans="1:6" ht="15.75" customHeight="1" x14ac:dyDescent="0.3">
      <c r="A321" s="5"/>
      <c r="B321" s="5"/>
      <c r="C321" s="5"/>
      <c r="D321" s="5"/>
      <c r="E321" s="5"/>
      <c r="F321" s="5"/>
    </row>
    <row r="322" spans="1:6" ht="15.75" customHeight="1" x14ac:dyDescent="0.3">
      <c r="A322" s="5"/>
      <c r="B322" s="5"/>
      <c r="C322" s="5"/>
      <c r="D322" s="5"/>
      <c r="E322" s="5"/>
      <c r="F322" s="5"/>
    </row>
    <row r="323" spans="1:6" ht="15.75" customHeight="1" x14ac:dyDescent="0.3">
      <c r="A323" s="5"/>
      <c r="B323" s="5"/>
      <c r="C323" s="5"/>
      <c r="D323" s="5"/>
      <c r="E323" s="5"/>
      <c r="F323" s="5"/>
    </row>
    <row r="324" spans="1:6" ht="15.75" customHeight="1" x14ac:dyDescent="0.3">
      <c r="A324" s="5"/>
      <c r="B324" s="5"/>
      <c r="C324" s="5"/>
      <c r="D324" s="5"/>
      <c r="E324" s="5"/>
      <c r="F324" s="5"/>
    </row>
    <row r="325" spans="1:6" ht="15.75" customHeight="1" x14ac:dyDescent="0.3">
      <c r="A325" s="5"/>
      <c r="B325" s="5"/>
      <c r="C325" s="5"/>
      <c r="D325" s="5"/>
      <c r="E325" s="5"/>
      <c r="F325" s="5"/>
    </row>
    <row r="326" spans="1:6" ht="15.75" customHeight="1" x14ac:dyDescent="0.3">
      <c r="A326" s="5"/>
      <c r="B326" s="5"/>
      <c r="C326" s="5"/>
      <c r="D326" s="5"/>
      <c r="E326" s="5"/>
      <c r="F326" s="5"/>
    </row>
    <row r="327" spans="1:6" ht="15.75" customHeight="1" x14ac:dyDescent="0.3">
      <c r="A327" s="5"/>
      <c r="B327" s="5"/>
      <c r="C327" s="5"/>
      <c r="D327" s="5"/>
      <c r="E327" s="5"/>
      <c r="F327" s="5"/>
    </row>
    <row r="328" spans="1:6" ht="15.75" customHeight="1" x14ac:dyDescent="0.3">
      <c r="A328" s="5"/>
      <c r="B328" s="5"/>
      <c r="C328" s="5"/>
      <c r="D328" s="5"/>
      <c r="E328" s="5"/>
      <c r="F328" s="5"/>
    </row>
    <row r="329" spans="1:6" ht="15.75" customHeight="1" x14ac:dyDescent="0.3">
      <c r="A329" s="5"/>
      <c r="B329" s="5"/>
      <c r="C329" s="5"/>
      <c r="D329" s="5"/>
      <c r="E329" s="5"/>
      <c r="F329" s="5"/>
    </row>
    <row r="330" spans="1:6" ht="15.75" customHeight="1" x14ac:dyDescent="0.3">
      <c r="A330" s="5"/>
      <c r="B330" s="5"/>
      <c r="C330" s="5"/>
      <c r="D330" s="5"/>
      <c r="E330" s="5"/>
      <c r="F330" s="5"/>
    </row>
    <row r="331" spans="1:6" ht="15.75" customHeight="1" x14ac:dyDescent="0.3">
      <c r="A331" s="5"/>
      <c r="B331" s="5"/>
      <c r="C331" s="5"/>
      <c r="D331" s="5"/>
      <c r="E331" s="5"/>
      <c r="F331" s="5"/>
    </row>
    <row r="332" spans="1:6" ht="15.75" customHeight="1" x14ac:dyDescent="0.3">
      <c r="A332" s="5"/>
      <c r="B332" s="5"/>
      <c r="C332" s="5"/>
      <c r="D332" s="5"/>
      <c r="E332" s="5"/>
      <c r="F332" s="5"/>
    </row>
    <row r="333" spans="1:6" ht="15.75" customHeight="1" x14ac:dyDescent="0.3">
      <c r="A333" s="5"/>
      <c r="B333" s="5"/>
      <c r="C333" s="5"/>
      <c r="D333" s="5"/>
      <c r="E333" s="5"/>
      <c r="F333" s="5"/>
    </row>
    <row r="334" spans="1:6" ht="15.75" customHeight="1" x14ac:dyDescent="0.3">
      <c r="A334" s="5"/>
      <c r="B334" s="5"/>
      <c r="C334" s="5"/>
      <c r="D334" s="5"/>
      <c r="E334" s="5"/>
      <c r="F334" s="5"/>
    </row>
    <row r="335" spans="1:6" ht="15.75" customHeight="1" x14ac:dyDescent="0.3">
      <c r="A335" s="5"/>
      <c r="B335" s="5"/>
      <c r="C335" s="5"/>
      <c r="D335" s="5"/>
      <c r="E335" s="5"/>
      <c r="F335" s="5"/>
    </row>
    <row r="336" spans="1:6" ht="15.75" customHeight="1" x14ac:dyDescent="0.3">
      <c r="A336" s="5"/>
      <c r="B336" s="5"/>
      <c r="C336" s="5"/>
      <c r="D336" s="5"/>
      <c r="E336" s="5"/>
      <c r="F336" s="5"/>
    </row>
    <row r="337" spans="1:6" ht="15.75" customHeight="1" x14ac:dyDescent="0.3">
      <c r="A337" s="5"/>
      <c r="B337" s="5"/>
      <c r="C337" s="5"/>
      <c r="D337" s="5"/>
      <c r="E337" s="5"/>
      <c r="F337" s="5"/>
    </row>
    <row r="338" spans="1:6" ht="15.75" customHeight="1" x14ac:dyDescent="0.3">
      <c r="A338" s="5"/>
      <c r="B338" s="5"/>
      <c r="C338" s="5"/>
      <c r="D338" s="5"/>
      <c r="E338" s="5"/>
      <c r="F338" s="5"/>
    </row>
    <row r="339" spans="1:6" ht="15.75" customHeight="1" x14ac:dyDescent="0.3">
      <c r="A339" s="5"/>
      <c r="B339" s="5"/>
      <c r="C339" s="5"/>
      <c r="D339" s="5"/>
      <c r="E339" s="5"/>
      <c r="F339" s="5"/>
    </row>
    <row r="340" spans="1:6" ht="15.75" customHeight="1" x14ac:dyDescent="0.3">
      <c r="A340" s="5"/>
      <c r="B340" s="5"/>
      <c r="C340" s="5"/>
      <c r="D340" s="5"/>
      <c r="E340" s="5"/>
      <c r="F340" s="5"/>
    </row>
    <row r="341" spans="1:6" ht="15.75" customHeight="1" x14ac:dyDescent="0.3">
      <c r="A341" s="5"/>
      <c r="B341" s="5"/>
      <c r="C341" s="5"/>
      <c r="D341" s="5"/>
      <c r="E341" s="5"/>
      <c r="F341" s="5"/>
    </row>
    <row r="342" spans="1:6" ht="15.75" customHeight="1" x14ac:dyDescent="0.3">
      <c r="A342" s="5"/>
      <c r="B342" s="5"/>
      <c r="C342" s="5"/>
      <c r="D342" s="5"/>
      <c r="E342" s="5"/>
      <c r="F342" s="5"/>
    </row>
    <row r="343" spans="1:6" ht="15.75" customHeight="1" x14ac:dyDescent="0.3">
      <c r="A343" s="5"/>
      <c r="B343" s="5"/>
      <c r="C343" s="5"/>
      <c r="D343" s="5"/>
      <c r="E343" s="5"/>
      <c r="F343" s="5"/>
    </row>
    <row r="344" spans="1:6" ht="15.75" customHeight="1" x14ac:dyDescent="0.3">
      <c r="A344" s="5"/>
      <c r="B344" s="5"/>
      <c r="C344" s="5"/>
      <c r="D344" s="5"/>
      <c r="E344" s="5"/>
      <c r="F344" s="5"/>
    </row>
    <row r="345" spans="1:6" ht="15.75" customHeight="1" x14ac:dyDescent="0.3">
      <c r="A345" s="5"/>
      <c r="B345" s="5"/>
      <c r="C345" s="5"/>
      <c r="D345" s="5"/>
      <c r="E345" s="5"/>
      <c r="F345" s="5"/>
    </row>
    <row r="346" spans="1:6" ht="15.75" customHeight="1" x14ac:dyDescent="0.3">
      <c r="A346" s="5"/>
      <c r="B346" s="5"/>
      <c r="C346" s="5"/>
      <c r="D346" s="5"/>
      <c r="E346" s="5"/>
      <c r="F346" s="5"/>
    </row>
    <row r="347" spans="1:6" ht="15.75" customHeight="1" x14ac:dyDescent="0.3">
      <c r="A347" s="5"/>
      <c r="B347" s="5"/>
      <c r="C347" s="5"/>
      <c r="D347" s="5"/>
      <c r="E347" s="5"/>
      <c r="F347" s="5"/>
    </row>
    <row r="348" spans="1:6" ht="15.75" customHeight="1" x14ac:dyDescent="0.3">
      <c r="A348" s="5"/>
      <c r="B348" s="5"/>
      <c r="C348" s="5"/>
      <c r="D348" s="5"/>
      <c r="E348" s="5"/>
      <c r="F348" s="5"/>
    </row>
    <row r="349" spans="1:6" ht="15.75" customHeight="1" x14ac:dyDescent="0.3">
      <c r="A349" s="5"/>
      <c r="B349" s="5"/>
      <c r="C349" s="5"/>
      <c r="D349" s="5"/>
      <c r="E349" s="5"/>
      <c r="F349" s="5"/>
    </row>
    <row r="350" spans="1:6" ht="15.75" customHeight="1" x14ac:dyDescent="0.3">
      <c r="A350" s="5"/>
      <c r="B350" s="5"/>
      <c r="C350" s="5"/>
      <c r="D350" s="5"/>
      <c r="E350" s="5"/>
      <c r="F350" s="5"/>
    </row>
    <row r="351" spans="1:6" ht="15.75" customHeight="1" x14ac:dyDescent="0.3">
      <c r="A351" s="5"/>
      <c r="B351" s="5"/>
      <c r="C351" s="5"/>
      <c r="D351" s="5"/>
      <c r="E351" s="5"/>
      <c r="F351" s="5"/>
    </row>
    <row r="352" spans="1:6" ht="15.75" customHeight="1" x14ac:dyDescent="0.3">
      <c r="A352" s="5"/>
      <c r="B352" s="5"/>
      <c r="C352" s="5"/>
      <c r="D352" s="5"/>
      <c r="E352" s="5"/>
      <c r="F352" s="5"/>
    </row>
    <row r="353" spans="1:6" ht="15.75" customHeight="1" x14ac:dyDescent="0.3">
      <c r="A353" s="5"/>
      <c r="B353" s="5"/>
      <c r="C353" s="5"/>
      <c r="D353" s="5"/>
      <c r="E353" s="5"/>
      <c r="F353" s="5"/>
    </row>
    <row r="354" spans="1:6" ht="15.75" customHeight="1" x14ac:dyDescent="0.3">
      <c r="A354" s="5"/>
      <c r="B354" s="5"/>
      <c r="C354" s="5"/>
      <c r="D354" s="5"/>
      <c r="E354" s="5"/>
      <c r="F354" s="5"/>
    </row>
    <row r="355" spans="1:6" ht="15.75" customHeight="1" x14ac:dyDescent="0.3">
      <c r="A355" s="5"/>
      <c r="B355" s="5"/>
      <c r="C355" s="5"/>
      <c r="D355" s="5"/>
      <c r="E355" s="5"/>
      <c r="F355" s="5"/>
    </row>
    <row r="356" spans="1:6" ht="15.75" customHeight="1" x14ac:dyDescent="0.3">
      <c r="A356" s="5"/>
      <c r="B356" s="5"/>
      <c r="C356" s="5"/>
      <c r="D356" s="5"/>
      <c r="E356" s="5"/>
      <c r="F356" s="5"/>
    </row>
    <row r="357" spans="1:6" ht="15.75" customHeight="1" x14ac:dyDescent="0.3">
      <c r="A357" s="5"/>
      <c r="B357" s="5"/>
      <c r="C357" s="5"/>
      <c r="D357" s="5"/>
      <c r="E357" s="5"/>
      <c r="F357" s="5"/>
    </row>
    <row r="358" spans="1:6" ht="15.75" customHeight="1" x14ac:dyDescent="0.3">
      <c r="A358" s="5"/>
      <c r="B358" s="5"/>
      <c r="C358" s="5"/>
      <c r="D358" s="5"/>
      <c r="E358" s="5"/>
      <c r="F358" s="5"/>
    </row>
    <row r="359" spans="1:6" ht="15.75" customHeight="1" x14ac:dyDescent="0.3">
      <c r="A359" s="5"/>
      <c r="B359" s="5"/>
      <c r="C359" s="5"/>
      <c r="D359" s="5"/>
      <c r="E359" s="5"/>
      <c r="F359" s="5"/>
    </row>
    <row r="360" spans="1:6" ht="15.75" customHeight="1" x14ac:dyDescent="0.3">
      <c r="A360" s="5"/>
      <c r="B360" s="5"/>
      <c r="C360" s="5"/>
      <c r="D360" s="5"/>
      <c r="E360" s="5"/>
      <c r="F360" s="5"/>
    </row>
    <row r="361" spans="1:6" ht="15.75" customHeight="1" x14ac:dyDescent="0.3">
      <c r="A361" s="5"/>
      <c r="B361" s="5"/>
      <c r="C361" s="5"/>
      <c r="D361" s="5"/>
      <c r="E361" s="5"/>
      <c r="F361" s="5"/>
    </row>
    <row r="362" spans="1:6" ht="15.75" customHeight="1" x14ac:dyDescent="0.3">
      <c r="A362" s="5"/>
      <c r="B362" s="5"/>
      <c r="C362" s="5"/>
      <c r="D362" s="5"/>
      <c r="E362" s="5"/>
      <c r="F362" s="5"/>
    </row>
    <row r="363" spans="1:6" ht="15.75" customHeight="1" x14ac:dyDescent="0.3">
      <c r="A363" s="5"/>
      <c r="B363" s="5"/>
      <c r="C363" s="5"/>
      <c r="D363" s="5"/>
      <c r="E363" s="5"/>
      <c r="F363" s="5"/>
    </row>
    <row r="364" spans="1:6" ht="15.75" customHeight="1" x14ac:dyDescent="0.3">
      <c r="A364" s="5"/>
      <c r="B364" s="5"/>
      <c r="C364" s="5"/>
      <c r="D364" s="5"/>
      <c r="E364" s="5"/>
      <c r="F364" s="5"/>
    </row>
    <row r="365" spans="1:6" ht="15.75" customHeight="1" x14ac:dyDescent="0.3">
      <c r="A365" s="5"/>
      <c r="B365" s="5"/>
      <c r="C365" s="5"/>
      <c r="D365" s="5"/>
      <c r="E365" s="5"/>
      <c r="F365" s="5"/>
    </row>
    <row r="366" spans="1:6" ht="15.75" customHeight="1" x14ac:dyDescent="0.3">
      <c r="A366" s="5"/>
      <c r="B366" s="5"/>
      <c r="C366" s="5"/>
      <c r="D366" s="5"/>
      <c r="E366" s="5"/>
      <c r="F366" s="5"/>
    </row>
    <row r="367" spans="1:6" ht="15.75" customHeight="1" x14ac:dyDescent="0.3">
      <c r="A367" s="5"/>
      <c r="B367" s="5"/>
      <c r="C367" s="5"/>
      <c r="D367" s="5"/>
      <c r="E367" s="5"/>
      <c r="F367" s="5"/>
    </row>
    <row r="368" spans="1:6" ht="15.75" customHeight="1" x14ac:dyDescent="0.3">
      <c r="A368" s="5"/>
      <c r="B368" s="5"/>
      <c r="C368" s="5"/>
      <c r="D368" s="5"/>
      <c r="E368" s="5"/>
      <c r="F368" s="5"/>
    </row>
    <row r="369" spans="1:6" ht="15.75" customHeight="1" x14ac:dyDescent="0.3">
      <c r="A369" s="5"/>
      <c r="B369" s="5"/>
      <c r="C369" s="5"/>
      <c r="D369" s="5"/>
      <c r="E369" s="5"/>
      <c r="F369" s="5"/>
    </row>
    <row r="370" spans="1:6" ht="15.75" customHeight="1" x14ac:dyDescent="0.3">
      <c r="A370" s="5"/>
      <c r="B370" s="5"/>
      <c r="C370" s="5"/>
      <c r="D370" s="5"/>
      <c r="E370" s="5"/>
      <c r="F370" s="5"/>
    </row>
    <row r="371" spans="1:6" ht="15.75" customHeight="1" x14ac:dyDescent="0.3">
      <c r="A371" s="5"/>
      <c r="B371" s="5"/>
      <c r="C371" s="5"/>
      <c r="D371" s="5"/>
      <c r="E371" s="5"/>
      <c r="F371" s="5"/>
    </row>
    <row r="372" spans="1:6" ht="15.75" customHeight="1" x14ac:dyDescent="0.3">
      <c r="A372" s="5"/>
      <c r="B372" s="5"/>
      <c r="C372" s="5"/>
      <c r="D372" s="5"/>
      <c r="E372" s="5"/>
      <c r="F372" s="5"/>
    </row>
    <row r="373" spans="1:6" ht="15.75" customHeight="1" x14ac:dyDescent="0.3">
      <c r="A373" s="5"/>
      <c r="B373" s="5"/>
      <c r="C373" s="5"/>
      <c r="D373" s="5"/>
      <c r="E373" s="5"/>
      <c r="F373" s="5"/>
    </row>
    <row r="374" spans="1:6" ht="15.75" customHeight="1" x14ac:dyDescent="0.3">
      <c r="A374" s="5"/>
      <c r="B374" s="5"/>
      <c r="C374" s="5"/>
      <c r="D374" s="5"/>
      <c r="E374" s="5"/>
      <c r="F374" s="5"/>
    </row>
    <row r="375" spans="1:6" ht="15.75" customHeight="1" x14ac:dyDescent="0.3">
      <c r="A375" s="5"/>
      <c r="B375" s="5"/>
      <c r="C375" s="5"/>
      <c r="D375" s="5"/>
      <c r="E375" s="5"/>
      <c r="F375" s="5"/>
    </row>
    <row r="376" spans="1:6" ht="15.75" customHeight="1" x14ac:dyDescent="0.3">
      <c r="A376" s="5"/>
      <c r="B376" s="5"/>
      <c r="C376" s="5"/>
      <c r="D376" s="5"/>
      <c r="E376" s="5"/>
      <c r="F376" s="5"/>
    </row>
    <row r="377" spans="1:6" ht="15.75" customHeight="1" x14ac:dyDescent="0.3">
      <c r="A377" s="5"/>
      <c r="B377" s="5"/>
      <c r="C377" s="5"/>
      <c r="D377" s="5"/>
      <c r="E377" s="5"/>
      <c r="F377" s="5"/>
    </row>
    <row r="378" spans="1:6" ht="15.75" customHeight="1" x14ac:dyDescent="0.3">
      <c r="A378" s="5"/>
      <c r="B378" s="5"/>
      <c r="C378" s="5"/>
      <c r="D378" s="5"/>
      <c r="E378" s="5"/>
      <c r="F378" s="5"/>
    </row>
    <row r="379" spans="1:6" ht="15.75" customHeight="1" x14ac:dyDescent="0.3">
      <c r="A379" s="5"/>
      <c r="B379" s="5"/>
      <c r="C379" s="5"/>
      <c r="D379" s="5"/>
      <c r="E379" s="5"/>
      <c r="F379" s="5"/>
    </row>
    <row r="380" spans="1:6" ht="15.75" customHeight="1" x14ac:dyDescent="0.3">
      <c r="A380" s="5"/>
      <c r="B380" s="5"/>
      <c r="C380" s="5"/>
      <c r="D380" s="5"/>
      <c r="E380" s="5"/>
      <c r="F380" s="5"/>
    </row>
    <row r="381" spans="1:6" ht="15.75" customHeight="1" x14ac:dyDescent="0.3">
      <c r="A381" s="5"/>
      <c r="B381" s="5"/>
      <c r="C381" s="5"/>
      <c r="D381" s="5"/>
      <c r="E381" s="5"/>
      <c r="F381" s="5"/>
    </row>
    <row r="382" spans="1:6" ht="15.75" customHeight="1" x14ac:dyDescent="0.3">
      <c r="A382" s="5"/>
      <c r="B382" s="5"/>
      <c r="C382" s="5"/>
      <c r="D382" s="5"/>
      <c r="E382" s="5"/>
      <c r="F382" s="5"/>
    </row>
    <row r="383" spans="1:6" ht="15.75" customHeight="1" x14ac:dyDescent="0.3">
      <c r="A383" s="5"/>
      <c r="B383" s="5"/>
      <c r="C383" s="5"/>
      <c r="D383" s="5"/>
      <c r="E383" s="5"/>
      <c r="F383" s="5"/>
    </row>
    <row r="384" spans="1:6" ht="15.75" customHeight="1" x14ac:dyDescent="0.3">
      <c r="A384" s="5"/>
      <c r="B384" s="5"/>
      <c r="C384" s="5"/>
      <c r="D384" s="5"/>
      <c r="E384" s="5"/>
      <c r="F384" s="5"/>
    </row>
    <row r="385" spans="1:6" ht="15.75" customHeight="1" x14ac:dyDescent="0.3">
      <c r="A385" s="5"/>
      <c r="B385" s="5"/>
      <c r="C385" s="5"/>
      <c r="D385" s="5"/>
      <c r="E385" s="5"/>
      <c r="F385" s="5"/>
    </row>
    <row r="386" spans="1:6" ht="15.75" customHeight="1" x14ac:dyDescent="0.3">
      <c r="A386" s="5"/>
      <c r="B386" s="5"/>
      <c r="C386" s="5"/>
      <c r="D386" s="5"/>
      <c r="E386" s="5"/>
      <c r="F386" s="5"/>
    </row>
    <row r="387" spans="1:6" ht="15.75" customHeight="1" x14ac:dyDescent="0.3">
      <c r="A387" s="5"/>
      <c r="B387" s="5"/>
      <c r="C387" s="5"/>
      <c r="D387" s="5"/>
      <c r="E387" s="5"/>
      <c r="F387" s="5"/>
    </row>
    <row r="388" spans="1:6" ht="15.75" customHeight="1" x14ac:dyDescent="0.3">
      <c r="A388" s="5"/>
      <c r="B388" s="5"/>
      <c r="C388" s="5"/>
      <c r="D388" s="5"/>
      <c r="E388" s="5"/>
      <c r="F388" s="5"/>
    </row>
    <row r="389" spans="1:6" ht="15.75" customHeight="1" x14ac:dyDescent="0.3">
      <c r="A389" s="5"/>
      <c r="B389" s="5"/>
      <c r="C389" s="5"/>
      <c r="D389" s="5"/>
      <c r="E389" s="5"/>
      <c r="F389" s="5"/>
    </row>
    <row r="390" spans="1:6" ht="15.75" customHeight="1" x14ac:dyDescent="0.3">
      <c r="A390" s="5"/>
      <c r="B390" s="5"/>
      <c r="C390" s="5"/>
      <c r="D390" s="5"/>
      <c r="E390" s="5"/>
      <c r="F390" s="5"/>
    </row>
    <row r="391" spans="1:6" ht="15.75" customHeight="1" x14ac:dyDescent="0.3">
      <c r="A391" s="5"/>
      <c r="B391" s="5"/>
      <c r="C391" s="5"/>
      <c r="D391" s="5"/>
      <c r="E391" s="5"/>
      <c r="F391" s="5"/>
    </row>
    <row r="392" spans="1:6" ht="15.75" customHeight="1" x14ac:dyDescent="0.3">
      <c r="A392" s="5"/>
      <c r="B392" s="5"/>
      <c r="C392" s="5"/>
      <c r="D392" s="5"/>
      <c r="E392" s="5"/>
      <c r="F392" s="5"/>
    </row>
    <row r="393" spans="1:6" ht="15.75" customHeight="1" x14ac:dyDescent="0.3">
      <c r="A393" s="5"/>
      <c r="B393" s="5"/>
      <c r="C393" s="5"/>
      <c r="D393" s="5"/>
      <c r="E393" s="5"/>
      <c r="F393" s="5"/>
    </row>
    <row r="394" spans="1:6" ht="15.75" customHeight="1" x14ac:dyDescent="0.3">
      <c r="A394" s="5"/>
      <c r="B394" s="5"/>
      <c r="C394" s="5"/>
      <c r="D394" s="5"/>
      <c r="E394" s="5"/>
      <c r="F394" s="5"/>
    </row>
    <row r="395" spans="1:6" ht="15.75" customHeight="1" x14ac:dyDescent="0.3">
      <c r="A395" s="5"/>
      <c r="B395" s="5"/>
      <c r="C395" s="5"/>
      <c r="D395" s="5"/>
      <c r="E395" s="5"/>
      <c r="F395" s="5"/>
    </row>
    <row r="396" spans="1:6" ht="15.75" customHeight="1" x14ac:dyDescent="0.3">
      <c r="A396" s="5"/>
      <c r="B396" s="5"/>
      <c r="C396" s="5"/>
      <c r="D396" s="5"/>
      <c r="E396" s="5"/>
      <c r="F396" s="5"/>
    </row>
    <row r="397" spans="1:6" ht="15.75" customHeight="1" x14ac:dyDescent="0.3">
      <c r="A397" s="5"/>
      <c r="B397" s="5"/>
      <c r="C397" s="5"/>
      <c r="D397" s="5"/>
      <c r="E397" s="5"/>
      <c r="F397" s="5"/>
    </row>
    <row r="398" spans="1:6" ht="15.75" customHeight="1" x14ac:dyDescent="0.3">
      <c r="A398" s="5"/>
      <c r="B398" s="5"/>
      <c r="C398" s="5"/>
      <c r="D398" s="5"/>
      <c r="E398" s="5"/>
      <c r="F398" s="5"/>
    </row>
    <row r="399" spans="1:6" ht="15.75" customHeight="1" x14ac:dyDescent="0.3">
      <c r="A399" s="5"/>
      <c r="B399" s="5"/>
      <c r="C399" s="5"/>
      <c r="D399" s="5"/>
      <c r="E399" s="5"/>
      <c r="F399" s="5"/>
    </row>
    <row r="400" spans="1:6" ht="15.75" customHeight="1" x14ac:dyDescent="0.3">
      <c r="A400" s="5"/>
      <c r="B400" s="5"/>
      <c r="C400" s="5"/>
      <c r="D400" s="5"/>
      <c r="E400" s="5"/>
      <c r="F400" s="5"/>
    </row>
    <row r="401" spans="1:6" ht="15.75" customHeight="1" x14ac:dyDescent="0.3">
      <c r="A401" s="5"/>
      <c r="B401" s="5"/>
      <c r="C401" s="5"/>
      <c r="D401" s="5"/>
      <c r="E401" s="5"/>
      <c r="F401" s="5"/>
    </row>
    <row r="402" spans="1:6" ht="15.75" customHeight="1" x14ac:dyDescent="0.3">
      <c r="A402" s="5"/>
      <c r="B402" s="5"/>
      <c r="C402" s="5"/>
      <c r="D402" s="5"/>
      <c r="E402" s="5"/>
      <c r="F402" s="5"/>
    </row>
    <row r="403" spans="1:6" ht="15.75" customHeight="1" x14ac:dyDescent="0.3">
      <c r="A403" s="5"/>
      <c r="B403" s="5"/>
      <c r="C403" s="5"/>
      <c r="D403" s="5"/>
      <c r="E403" s="5"/>
      <c r="F403" s="5"/>
    </row>
    <row r="404" spans="1:6" ht="15.75" customHeight="1" x14ac:dyDescent="0.3">
      <c r="A404" s="5"/>
      <c r="B404" s="5"/>
      <c r="C404" s="5"/>
      <c r="D404" s="5"/>
      <c r="E404" s="5"/>
      <c r="F404" s="5"/>
    </row>
    <row r="405" spans="1:6" ht="15.75" customHeight="1" x14ac:dyDescent="0.3">
      <c r="A405" s="5"/>
      <c r="B405" s="5"/>
      <c r="C405" s="5"/>
      <c r="D405" s="5"/>
      <c r="E405" s="5"/>
      <c r="F405" s="5"/>
    </row>
    <row r="406" spans="1:6" ht="15.75" customHeight="1" x14ac:dyDescent="0.3">
      <c r="A406" s="5"/>
      <c r="B406" s="5"/>
      <c r="C406" s="5"/>
      <c r="D406" s="5"/>
      <c r="E406" s="5"/>
      <c r="F406" s="5"/>
    </row>
    <row r="407" spans="1:6" ht="15.75" customHeight="1" x14ac:dyDescent="0.3">
      <c r="A407" s="5"/>
      <c r="B407" s="5"/>
      <c r="C407" s="5"/>
      <c r="D407" s="5"/>
      <c r="E407" s="5"/>
      <c r="F407" s="5"/>
    </row>
    <row r="408" spans="1:6" ht="15.75" customHeight="1" x14ac:dyDescent="0.3">
      <c r="A408" s="5"/>
      <c r="B408" s="5"/>
      <c r="C408" s="5"/>
      <c r="D408" s="5"/>
      <c r="E408" s="5"/>
      <c r="F408" s="5"/>
    </row>
    <row r="409" spans="1:6" ht="15.75" customHeight="1" x14ac:dyDescent="0.3">
      <c r="A409" s="5"/>
      <c r="B409" s="5"/>
      <c r="C409" s="5"/>
      <c r="D409" s="5"/>
      <c r="E409" s="5"/>
      <c r="F409" s="5"/>
    </row>
    <row r="410" spans="1:6" ht="15.75" customHeight="1" x14ac:dyDescent="0.3">
      <c r="A410" s="5"/>
      <c r="B410" s="5"/>
      <c r="C410" s="5"/>
      <c r="D410" s="5"/>
      <c r="E410" s="5"/>
      <c r="F410" s="5"/>
    </row>
    <row r="411" spans="1:6" ht="15.75" customHeight="1" x14ac:dyDescent="0.3">
      <c r="A411" s="5"/>
      <c r="B411" s="5"/>
      <c r="C411" s="5"/>
      <c r="D411" s="5"/>
      <c r="E411" s="5"/>
      <c r="F411" s="5"/>
    </row>
    <row r="412" spans="1:6" ht="15.75" customHeight="1" x14ac:dyDescent="0.3">
      <c r="A412" s="5"/>
      <c r="B412" s="5"/>
      <c r="C412" s="5"/>
      <c r="D412" s="5"/>
      <c r="E412" s="5"/>
      <c r="F412" s="5"/>
    </row>
    <row r="413" spans="1:6" ht="15.75" customHeight="1" x14ac:dyDescent="0.3">
      <c r="A413" s="5"/>
      <c r="B413" s="5"/>
      <c r="C413" s="5"/>
      <c r="D413" s="5"/>
      <c r="E413" s="5"/>
      <c r="F413" s="5"/>
    </row>
    <row r="414" spans="1:6" ht="15.75" customHeight="1" x14ac:dyDescent="0.3">
      <c r="A414" s="5"/>
      <c r="B414" s="5"/>
      <c r="C414" s="5"/>
      <c r="D414" s="5"/>
      <c r="E414" s="5"/>
      <c r="F414" s="5"/>
    </row>
    <row r="415" spans="1:6" ht="15.75" customHeight="1" x14ac:dyDescent="0.3">
      <c r="A415" s="5"/>
      <c r="B415" s="5"/>
      <c r="C415" s="5"/>
      <c r="D415" s="5"/>
      <c r="E415" s="5"/>
      <c r="F415" s="5"/>
    </row>
    <row r="416" spans="1:6" ht="15.75" customHeight="1" x14ac:dyDescent="0.3">
      <c r="A416" s="5"/>
      <c r="B416" s="5"/>
      <c r="C416" s="5"/>
      <c r="D416" s="5"/>
      <c r="E416" s="5"/>
      <c r="F416" s="5"/>
    </row>
    <row r="417" spans="1:6" ht="15.75" customHeight="1" x14ac:dyDescent="0.3">
      <c r="A417" s="5"/>
      <c r="B417" s="5"/>
      <c r="C417" s="5"/>
      <c r="D417" s="5"/>
      <c r="E417" s="5"/>
      <c r="F417" s="5"/>
    </row>
    <row r="418" spans="1:6" ht="15.75" customHeight="1" x14ac:dyDescent="0.3">
      <c r="A418" s="5"/>
      <c r="B418" s="5"/>
      <c r="C418" s="5"/>
      <c r="D418" s="5"/>
      <c r="E418" s="5"/>
      <c r="F418" s="5"/>
    </row>
    <row r="419" spans="1:6" ht="15.75" customHeight="1" x14ac:dyDescent="0.3">
      <c r="A419" s="5"/>
      <c r="B419" s="5"/>
      <c r="C419" s="5"/>
      <c r="D419" s="5"/>
      <c r="E419" s="5"/>
      <c r="F419" s="5"/>
    </row>
    <row r="420" spans="1:6" ht="15.75" customHeight="1" x14ac:dyDescent="0.3">
      <c r="A420" s="5"/>
      <c r="B420" s="5"/>
      <c r="C420" s="5"/>
      <c r="D420" s="5"/>
      <c r="E420" s="5"/>
      <c r="F420" s="5"/>
    </row>
    <row r="421" spans="1:6" ht="15.75" customHeight="1" x14ac:dyDescent="0.3">
      <c r="A421" s="5"/>
      <c r="B421" s="5"/>
      <c r="C421" s="5"/>
      <c r="D421" s="5"/>
      <c r="E421" s="5"/>
      <c r="F421" s="5"/>
    </row>
    <row r="422" spans="1:6" ht="15.75" customHeight="1" x14ac:dyDescent="0.3">
      <c r="A422" s="5"/>
      <c r="B422" s="5"/>
      <c r="C422" s="5"/>
      <c r="D422" s="5"/>
      <c r="E422" s="5"/>
      <c r="F422" s="5"/>
    </row>
    <row r="423" spans="1:6" ht="15.75" customHeight="1" x14ac:dyDescent="0.3">
      <c r="A423" s="5"/>
      <c r="B423" s="5"/>
      <c r="C423" s="5"/>
      <c r="D423" s="5"/>
      <c r="E423" s="5"/>
      <c r="F423" s="5"/>
    </row>
    <row r="424" spans="1:6" ht="15.75" customHeight="1" x14ac:dyDescent="0.3">
      <c r="A424" s="5"/>
      <c r="B424" s="5"/>
      <c r="C424" s="5"/>
      <c r="D424" s="5"/>
      <c r="E424" s="5"/>
      <c r="F424" s="5"/>
    </row>
    <row r="425" spans="1:6" ht="15.75" customHeight="1" x14ac:dyDescent="0.3">
      <c r="A425" s="5"/>
      <c r="B425" s="5"/>
      <c r="C425" s="5"/>
      <c r="D425" s="5"/>
      <c r="E425" s="5"/>
      <c r="F425" s="5"/>
    </row>
    <row r="426" spans="1:6" ht="15.75" customHeight="1" x14ac:dyDescent="0.3">
      <c r="A426" s="5"/>
      <c r="B426" s="5"/>
      <c r="C426" s="5"/>
      <c r="D426" s="5"/>
      <c r="E426" s="5"/>
      <c r="F426" s="5"/>
    </row>
    <row r="427" spans="1:6" ht="15.75" customHeight="1" x14ac:dyDescent="0.3">
      <c r="A427" s="5"/>
      <c r="B427" s="5"/>
      <c r="C427" s="5"/>
      <c r="D427" s="5"/>
      <c r="E427" s="5"/>
      <c r="F427" s="5"/>
    </row>
    <row r="428" spans="1:6" ht="15.75" customHeight="1" x14ac:dyDescent="0.3">
      <c r="A428" s="5"/>
      <c r="B428" s="5"/>
      <c r="C428" s="5"/>
      <c r="D428" s="5"/>
      <c r="E428" s="5"/>
      <c r="F428" s="5"/>
    </row>
    <row r="429" spans="1:6" ht="15.75" customHeight="1" x14ac:dyDescent="0.3">
      <c r="A429" s="5"/>
      <c r="B429" s="5"/>
      <c r="C429" s="5"/>
      <c r="D429" s="5"/>
      <c r="E429" s="5"/>
      <c r="F429" s="5"/>
    </row>
    <row r="430" spans="1:6" ht="15.75" customHeight="1" x14ac:dyDescent="0.3">
      <c r="A430" s="5"/>
      <c r="B430" s="5"/>
      <c r="C430" s="5"/>
      <c r="D430" s="5"/>
      <c r="E430" s="5"/>
      <c r="F430" s="5"/>
    </row>
    <row r="431" spans="1:6" ht="15.75" customHeight="1" x14ac:dyDescent="0.3">
      <c r="A431" s="5"/>
      <c r="B431" s="5"/>
      <c r="C431" s="5"/>
      <c r="D431" s="5"/>
      <c r="E431" s="5"/>
      <c r="F431" s="5"/>
    </row>
    <row r="432" spans="1:6" ht="15.75" customHeight="1" x14ac:dyDescent="0.3">
      <c r="A432" s="5"/>
      <c r="B432" s="5"/>
      <c r="C432" s="5"/>
      <c r="D432" s="5"/>
      <c r="E432" s="5"/>
      <c r="F432" s="5"/>
    </row>
    <row r="433" spans="1:6" ht="15.75" customHeight="1" x14ac:dyDescent="0.3">
      <c r="A433" s="5"/>
      <c r="B433" s="5"/>
      <c r="C433" s="5"/>
      <c r="D433" s="5"/>
      <c r="E433" s="5"/>
      <c r="F433" s="5"/>
    </row>
    <row r="434" spans="1:6" ht="15.75" customHeight="1" x14ac:dyDescent="0.3">
      <c r="A434" s="5"/>
      <c r="B434" s="5"/>
      <c r="C434" s="5"/>
      <c r="D434" s="5"/>
      <c r="E434" s="5"/>
      <c r="F434" s="5"/>
    </row>
    <row r="435" spans="1:6" ht="15.75" customHeight="1" x14ac:dyDescent="0.3">
      <c r="A435" s="5"/>
      <c r="B435" s="5"/>
      <c r="C435" s="5"/>
      <c r="D435" s="5"/>
      <c r="E435" s="5"/>
      <c r="F435" s="5"/>
    </row>
    <row r="436" spans="1:6" ht="15.75" customHeight="1" x14ac:dyDescent="0.3">
      <c r="A436" s="5"/>
      <c r="B436" s="5"/>
      <c r="C436" s="5"/>
      <c r="D436" s="5"/>
      <c r="E436" s="5"/>
      <c r="F436" s="5"/>
    </row>
    <row r="437" spans="1:6" ht="15.75" customHeight="1" x14ac:dyDescent="0.3">
      <c r="A437" s="5"/>
      <c r="B437" s="5"/>
      <c r="C437" s="5"/>
      <c r="D437" s="5"/>
      <c r="E437" s="5"/>
      <c r="F437" s="5"/>
    </row>
    <row r="438" spans="1:6" ht="15.75" customHeight="1" x14ac:dyDescent="0.3">
      <c r="A438" s="5"/>
      <c r="B438" s="5"/>
      <c r="C438" s="5"/>
      <c r="D438" s="5"/>
      <c r="E438" s="5"/>
      <c r="F438" s="5"/>
    </row>
    <row r="439" spans="1:6" ht="15.75" customHeight="1" x14ac:dyDescent="0.3">
      <c r="A439" s="5"/>
      <c r="B439" s="5"/>
      <c r="C439" s="5"/>
      <c r="D439" s="5"/>
      <c r="E439" s="5"/>
      <c r="F439" s="5"/>
    </row>
    <row r="440" spans="1:6" ht="15.75" customHeight="1" x14ac:dyDescent="0.3">
      <c r="A440" s="5"/>
      <c r="B440" s="5"/>
      <c r="C440" s="5"/>
      <c r="D440" s="5"/>
      <c r="E440" s="5"/>
      <c r="F440" s="5"/>
    </row>
    <row r="441" spans="1:6" ht="15.75" customHeight="1" x14ac:dyDescent="0.3">
      <c r="A441" s="5"/>
      <c r="B441" s="5"/>
      <c r="C441" s="5"/>
      <c r="D441" s="5"/>
      <c r="E441" s="5"/>
      <c r="F441" s="5"/>
    </row>
    <row r="442" spans="1:6" ht="15.75" customHeight="1" x14ac:dyDescent="0.3">
      <c r="A442" s="5"/>
      <c r="B442" s="5"/>
      <c r="C442" s="5"/>
      <c r="D442" s="5"/>
      <c r="E442" s="5"/>
      <c r="F442" s="5"/>
    </row>
    <row r="443" spans="1:6" ht="15.75" customHeight="1" x14ac:dyDescent="0.3">
      <c r="A443" s="5"/>
      <c r="B443" s="5"/>
      <c r="C443" s="5"/>
      <c r="D443" s="5"/>
      <c r="E443" s="5"/>
      <c r="F443" s="5"/>
    </row>
    <row r="444" spans="1:6" ht="15.75" customHeight="1" x14ac:dyDescent="0.3">
      <c r="A444" s="5"/>
      <c r="B444" s="5"/>
      <c r="C444" s="5"/>
      <c r="D444" s="5"/>
      <c r="E444" s="5"/>
      <c r="F444" s="5"/>
    </row>
    <row r="445" spans="1:6" ht="15.75" customHeight="1" x14ac:dyDescent="0.3">
      <c r="A445" s="5"/>
      <c r="B445" s="5"/>
      <c r="C445" s="5"/>
      <c r="D445" s="5"/>
      <c r="E445" s="5"/>
      <c r="F445" s="5"/>
    </row>
    <row r="446" spans="1:6" ht="15.75" customHeight="1" x14ac:dyDescent="0.3">
      <c r="A446" s="5"/>
      <c r="B446" s="5"/>
      <c r="C446" s="5"/>
      <c r="D446" s="5"/>
      <c r="E446" s="5"/>
      <c r="F446" s="5"/>
    </row>
    <row r="447" spans="1:6" ht="15.75" customHeight="1" x14ac:dyDescent="0.3">
      <c r="A447" s="5"/>
      <c r="B447" s="5"/>
      <c r="C447" s="5"/>
      <c r="D447" s="5"/>
      <c r="E447" s="5"/>
      <c r="F447" s="5"/>
    </row>
    <row r="448" spans="1:6" ht="15.75" customHeight="1" x14ac:dyDescent="0.3">
      <c r="A448" s="5"/>
      <c r="B448" s="5"/>
      <c r="C448" s="5"/>
      <c r="D448" s="5"/>
      <c r="E448" s="5"/>
      <c r="F448" s="5"/>
    </row>
    <row r="449" spans="1:6" ht="15.75" customHeight="1" x14ac:dyDescent="0.3">
      <c r="A449" s="5"/>
      <c r="B449" s="5"/>
      <c r="C449" s="5"/>
      <c r="D449" s="5"/>
      <c r="E449" s="5"/>
      <c r="F449" s="5"/>
    </row>
    <row r="450" spans="1:6" ht="15.75" customHeight="1" x14ac:dyDescent="0.3">
      <c r="A450" s="5"/>
      <c r="B450" s="5"/>
      <c r="C450" s="5"/>
      <c r="D450" s="5"/>
      <c r="E450" s="5"/>
      <c r="F450" s="5"/>
    </row>
    <row r="451" spans="1:6" ht="15.75" customHeight="1" x14ac:dyDescent="0.3">
      <c r="A451" s="5"/>
      <c r="B451" s="5"/>
      <c r="C451" s="5"/>
      <c r="D451" s="5"/>
      <c r="E451" s="5"/>
      <c r="F451" s="5"/>
    </row>
    <row r="452" spans="1:6" ht="15.75" customHeight="1" x14ac:dyDescent="0.3">
      <c r="A452" s="5"/>
      <c r="B452" s="5"/>
      <c r="C452" s="5"/>
      <c r="D452" s="5"/>
      <c r="E452" s="5"/>
      <c r="F452" s="5"/>
    </row>
    <row r="453" spans="1:6" ht="15.75" customHeight="1" x14ac:dyDescent="0.3">
      <c r="A453" s="5"/>
      <c r="B453" s="5"/>
      <c r="C453" s="5"/>
      <c r="D453" s="5"/>
      <c r="E453" s="5"/>
      <c r="F453" s="5"/>
    </row>
    <row r="454" spans="1:6" ht="15.75" customHeight="1" x14ac:dyDescent="0.3">
      <c r="A454" s="5"/>
      <c r="B454" s="5"/>
      <c r="C454" s="5"/>
      <c r="D454" s="5"/>
      <c r="E454" s="5"/>
      <c r="F454" s="5"/>
    </row>
    <row r="455" spans="1:6" ht="15.75" customHeight="1" x14ac:dyDescent="0.3">
      <c r="A455" s="5"/>
      <c r="B455" s="5"/>
      <c r="C455" s="5"/>
      <c r="D455" s="5"/>
      <c r="E455" s="5"/>
      <c r="F455" s="5"/>
    </row>
    <row r="456" spans="1:6" ht="15.75" customHeight="1" x14ac:dyDescent="0.3">
      <c r="A456" s="5"/>
      <c r="B456" s="5"/>
      <c r="C456" s="5"/>
      <c r="D456" s="5"/>
      <c r="E456" s="5"/>
      <c r="F456" s="5"/>
    </row>
    <row r="457" spans="1:6" ht="15.75" customHeight="1" x14ac:dyDescent="0.3">
      <c r="A457" s="5"/>
      <c r="B457" s="5"/>
      <c r="C457" s="5"/>
      <c r="D457" s="5"/>
      <c r="E457" s="5"/>
      <c r="F457" s="5"/>
    </row>
    <row r="458" spans="1:6" ht="15.75" customHeight="1" x14ac:dyDescent="0.3">
      <c r="A458" s="5"/>
      <c r="B458" s="5"/>
      <c r="C458" s="5"/>
      <c r="D458" s="5"/>
      <c r="E458" s="5"/>
      <c r="F458" s="5"/>
    </row>
    <row r="459" spans="1:6" ht="15.75" customHeight="1" x14ac:dyDescent="0.3">
      <c r="A459" s="5"/>
      <c r="B459" s="5"/>
      <c r="C459" s="5"/>
      <c r="D459" s="5"/>
      <c r="E459" s="5"/>
      <c r="F459" s="5"/>
    </row>
    <row r="460" spans="1:6" ht="15.75" customHeight="1" x14ac:dyDescent="0.3">
      <c r="A460" s="5"/>
      <c r="B460" s="5"/>
      <c r="C460" s="5"/>
      <c r="D460" s="5"/>
      <c r="E460" s="5"/>
      <c r="F460" s="5"/>
    </row>
    <row r="461" spans="1:6" ht="15.75" customHeight="1" x14ac:dyDescent="0.3">
      <c r="A461" s="5"/>
      <c r="B461" s="5"/>
      <c r="C461" s="5"/>
      <c r="D461" s="5"/>
      <c r="E461" s="5"/>
      <c r="F461" s="5"/>
    </row>
    <row r="462" spans="1:6" ht="15.75" customHeight="1" x14ac:dyDescent="0.3">
      <c r="A462" s="5"/>
      <c r="B462" s="5"/>
      <c r="C462" s="5"/>
      <c r="D462" s="5"/>
      <c r="E462" s="5"/>
      <c r="F462" s="5"/>
    </row>
    <row r="463" spans="1:6" ht="15.75" customHeight="1" x14ac:dyDescent="0.3">
      <c r="A463" s="5"/>
      <c r="B463" s="5"/>
      <c r="C463" s="5"/>
      <c r="D463" s="5"/>
      <c r="E463" s="5"/>
      <c r="F463" s="5"/>
    </row>
    <row r="464" spans="1:6" ht="15.75" customHeight="1" x14ac:dyDescent="0.3">
      <c r="A464" s="5"/>
      <c r="B464" s="5"/>
      <c r="C464" s="5"/>
      <c r="D464" s="5"/>
      <c r="E464" s="5"/>
      <c r="F464" s="5"/>
    </row>
    <row r="465" spans="1:6" ht="15.75" customHeight="1" x14ac:dyDescent="0.3">
      <c r="A465" s="5"/>
      <c r="B465" s="5"/>
      <c r="C465" s="5"/>
      <c r="D465" s="5"/>
      <c r="E465" s="5"/>
      <c r="F465" s="5"/>
    </row>
    <row r="466" spans="1:6" ht="15.75" customHeight="1" x14ac:dyDescent="0.3">
      <c r="A466" s="5"/>
      <c r="B466" s="5"/>
      <c r="C466" s="5"/>
      <c r="D466" s="5"/>
      <c r="E466" s="5"/>
      <c r="F466" s="5"/>
    </row>
    <row r="467" spans="1:6" ht="15.75" customHeight="1" x14ac:dyDescent="0.3">
      <c r="A467" s="5"/>
      <c r="B467" s="5"/>
      <c r="C467" s="5"/>
      <c r="D467" s="5"/>
      <c r="E467" s="5"/>
      <c r="F467" s="5"/>
    </row>
    <row r="468" spans="1:6" ht="15.75" customHeight="1" x14ac:dyDescent="0.3">
      <c r="A468" s="5"/>
      <c r="B468" s="5"/>
      <c r="C468" s="5"/>
      <c r="D468" s="5"/>
      <c r="E468" s="5"/>
      <c r="F468" s="5"/>
    </row>
    <row r="469" spans="1:6" ht="15.75" customHeight="1" x14ac:dyDescent="0.3">
      <c r="A469" s="5"/>
      <c r="B469" s="5"/>
      <c r="C469" s="5"/>
      <c r="D469" s="5"/>
      <c r="E469" s="5"/>
      <c r="F469" s="5"/>
    </row>
    <row r="470" spans="1:6" ht="15.75" customHeight="1" x14ac:dyDescent="0.3">
      <c r="A470" s="5"/>
      <c r="B470" s="5"/>
      <c r="C470" s="5"/>
      <c r="D470" s="5"/>
      <c r="E470" s="5"/>
      <c r="F470" s="5"/>
    </row>
    <row r="471" spans="1:6" ht="15.75" customHeight="1" x14ac:dyDescent="0.3">
      <c r="A471" s="5"/>
      <c r="B471" s="5"/>
      <c r="C471" s="5"/>
      <c r="D471" s="5"/>
      <c r="E471" s="5"/>
      <c r="F471" s="5"/>
    </row>
    <row r="472" spans="1:6" ht="15.75" customHeight="1" x14ac:dyDescent="0.3">
      <c r="A472" s="5"/>
      <c r="B472" s="5"/>
      <c r="C472" s="5"/>
      <c r="D472" s="5"/>
      <c r="E472" s="5"/>
      <c r="F472" s="5"/>
    </row>
    <row r="473" spans="1:6" ht="15.75" customHeight="1" x14ac:dyDescent="0.3">
      <c r="A473" s="5"/>
      <c r="B473" s="5"/>
      <c r="C473" s="5"/>
      <c r="D473" s="5"/>
      <c r="E473" s="5"/>
      <c r="F473" s="5"/>
    </row>
    <row r="474" spans="1:6" ht="15.75" customHeight="1" x14ac:dyDescent="0.3">
      <c r="A474" s="5"/>
      <c r="B474" s="5"/>
      <c r="C474" s="5"/>
      <c r="D474" s="5"/>
      <c r="E474" s="5"/>
      <c r="F474" s="5"/>
    </row>
    <row r="475" spans="1:6" ht="15.75" customHeight="1" x14ac:dyDescent="0.3">
      <c r="A475" s="5"/>
      <c r="B475" s="5"/>
      <c r="C475" s="5"/>
      <c r="D475" s="5"/>
      <c r="E475" s="5"/>
      <c r="F475" s="5"/>
    </row>
    <row r="476" spans="1:6" ht="15.75" customHeight="1" x14ac:dyDescent="0.3">
      <c r="A476" s="5"/>
      <c r="B476" s="5"/>
      <c r="C476" s="5"/>
      <c r="D476" s="5"/>
      <c r="E476" s="5"/>
      <c r="F476" s="5"/>
    </row>
    <row r="477" spans="1:6" ht="15.75" customHeight="1" x14ac:dyDescent="0.3">
      <c r="A477" s="5"/>
      <c r="B477" s="5"/>
      <c r="C477" s="5"/>
      <c r="D477" s="5"/>
      <c r="E477" s="5"/>
      <c r="F477" s="5"/>
    </row>
    <row r="478" spans="1:6" ht="15.75" customHeight="1" x14ac:dyDescent="0.3">
      <c r="A478" s="5"/>
      <c r="B478" s="5"/>
      <c r="C478" s="5"/>
      <c r="D478" s="5"/>
      <c r="E478" s="5"/>
      <c r="F478" s="5"/>
    </row>
    <row r="479" spans="1:6" ht="15.75" customHeight="1" x14ac:dyDescent="0.3">
      <c r="A479" s="5"/>
      <c r="B479" s="5"/>
      <c r="C479" s="5"/>
      <c r="D479" s="5"/>
      <c r="E479" s="5"/>
      <c r="F479" s="5"/>
    </row>
    <row r="480" spans="1:6" ht="15.75" customHeight="1" x14ac:dyDescent="0.3">
      <c r="A480" s="5"/>
      <c r="B480" s="5"/>
      <c r="C480" s="5"/>
      <c r="D480" s="5"/>
      <c r="E480" s="5"/>
      <c r="F480" s="5"/>
    </row>
    <row r="481" spans="1:6" ht="15.75" customHeight="1" x14ac:dyDescent="0.3">
      <c r="A481" s="5"/>
      <c r="B481" s="5"/>
      <c r="C481" s="5"/>
      <c r="D481" s="5"/>
      <c r="E481" s="5"/>
      <c r="F481" s="5"/>
    </row>
    <row r="482" spans="1:6" ht="15.75" customHeight="1" x14ac:dyDescent="0.3">
      <c r="A482" s="5"/>
      <c r="B482" s="5"/>
      <c r="C482" s="5"/>
      <c r="D482" s="5"/>
      <c r="E482" s="5"/>
      <c r="F482" s="5"/>
    </row>
    <row r="483" spans="1:6" ht="15.75" customHeight="1" x14ac:dyDescent="0.3">
      <c r="A483" s="5"/>
      <c r="B483" s="5"/>
      <c r="C483" s="5"/>
      <c r="D483" s="5"/>
      <c r="E483" s="5"/>
      <c r="F483" s="5"/>
    </row>
    <row r="484" spans="1:6" ht="15.75" customHeight="1" x14ac:dyDescent="0.3">
      <c r="A484" s="5"/>
      <c r="B484" s="5"/>
      <c r="C484" s="5"/>
      <c r="D484" s="5"/>
      <c r="E484" s="5"/>
      <c r="F484" s="5"/>
    </row>
    <row r="485" spans="1:6" ht="15.75" customHeight="1" x14ac:dyDescent="0.3">
      <c r="A485" s="5"/>
      <c r="B485" s="5"/>
      <c r="C485" s="5"/>
      <c r="D485" s="5"/>
      <c r="E485" s="5"/>
      <c r="F485" s="5"/>
    </row>
    <row r="486" spans="1:6" ht="15.75" customHeight="1" x14ac:dyDescent="0.3">
      <c r="A486" s="5"/>
      <c r="B486" s="5"/>
      <c r="C486" s="5"/>
      <c r="D486" s="5"/>
      <c r="E486" s="5"/>
      <c r="F486" s="5"/>
    </row>
    <row r="487" spans="1:6" ht="15.75" customHeight="1" x14ac:dyDescent="0.3">
      <c r="A487" s="5"/>
      <c r="B487" s="5"/>
      <c r="C487" s="5"/>
      <c r="D487" s="5"/>
      <c r="E487" s="5"/>
      <c r="F487" s="5"/>
    </row>
    <row r="488" spans="1:6" ht="15.75" customHeight="1" x14ac:dyDescent="0.3">
      <c r="A488" s="5"/>
      <c r="B488" s="5"/>
      <c r="C488" s="5"/>
      <c r="D488" s="5"/>
      <c r="E488" s="5"/>
      <c r="F488" s="5"/>
    </row>
    <row r="489" spans="1:6" ht="15.75" customHeight="1" x14ac:dyDescent="0.3">
      <c r="A489" s="5"/>
      <c r="B489" s="5"/>
      <c r="C489" s="5"/>
      <c r="D489" s="5"/>
      <c r="E489" s="5"/>
      <c r="F489" s="5"/>
    </row>
    <row r="490" spans="1:6" ht="15.75" customHeight="1" x14ac:dyDescent="0.3">
      <c r="A490" s="5"/>
      <c r="B490" s="5"/>
      <c r="C490" s="5"/>
      <c r="D490" s="5"/>
      <c r="E490" s="5"/>
      <c r="F490" s="5"/>
    </row>
    <row r="491" spans="1:6" ht="15.75" customHeight="1" x14ac:dyDescent="0.3">
      <c r="A491" s="5"/>
      <c r="B491" s="5"/>
      <c r="C491" s="5"/>
      <c r="D491" s="5"/>
      <c r="E491" s="5"/>
      <c r="F491" s="5"/>
    </row>
    <row r="492" spans="1:6" ht="15.75" customHeight="1" x14ac:dyDescent="0.3">
      <c r="A492" s="5"/>
      <c r="B492" s="5"/>
      <c r="C492" s="5"/>
      <c r="D492" s="5"/>
      <c r="E492" s="5"/>
      <c r="F492" s="5"/>
    </row>
    <row r="493" spans="1:6" ht="15.75" customHeight="1" x14ac:dyDescent="0.3">
      <c r="A493" s="5"/>
      <c r="B493" s="5"/>
      <c r="C493" s="5"/>
      <c r="D493" s="5"/>
      <c r="E493" s="5"/>
      <c r="F493" s="5"/>
    </row>
    <row r="494" spans="1:6" ht="15.75" customHeight="1" x14ac:dyDescent="0.3">
      <c r="A494" s="5"/>
      <c r="B494" s="5"/>
      <c r="C494" s="5"/>
      <c r="D494" s="5"/>
      <c r="E494" s="5"/>
      <c r="F494" s="5"/>
    </row>
    <row r="495" spans="1:6" ht="15.75" customHeight="1" x14ac:dyDescent="0.3">
      <c r="A495" s="5"/>
      <c r="B495" s="5"/>
      <c r="C495" s="5"/>
      <c r="D495" s="5"/>
      <c r="E495" s="5"/>
      <c r="F495" s="5"/>
    </row>
    <row r="496" spans="1:6" ht="15.75" customHeight="1" x14ac:dyDescent="0.3">
      <c r="A496" s="5"/>
      <c r="B496" s="5"/>
      <c r="C496" s="5"/>
      <c r="D496" s="5"/>
      <c r="E496" s="5"/>
      <c r="F496" s="5"/>
    </row>
    <row r="497" spans="1:6" ht="15.75" customHeight="1" x14ac:dyDescent="0.3">
      <c r="A497" s="5"/>
      <c r="B497" s="5"/>
      <c r="C497" s="5"/>
      <c r="D497" s="5"/>
      <c r="E497" s="5"/>
      <c r="F497" s="5"/>
    </row>
    <row r="498" spans="1:6" ht="15.75" customHeight="1" x14ac:dyDescent="0.3">
      <c r="A498" s="5"/>
      <c r="B498" s="5"/>
      <c r="C498" s="5"/>
      <c r="D498" s="5"/>
      <c r="E498" s="5"/>
      <c r="F498" s="5"/>
    </row>
    <row r="499" spans="1:6" ht="15.75" customHeight="1" x14ac:dyDescent="0.3">
      <c r="A499" s="5"/>
      <c r="B499" s="5"/>
      <c r="C499" s="5"/>
      <c r="D499" s="5"/>
      <c r="E499" s="5"/>
      <c r="F499" s="5"/>
    </row>
    <row r="500" spans="1:6" ht="15.75" customHeight="1" x14ac:dyDescent="0.3">
      <c r="A500" s="5"/>
      <c r="B500" s="5"/>
      <c r="C500" s="5"/>
      <c r="D500" s="5"/>
      <c r="E500" s="5"/>
      <c r="F500" s="5"/>
    </row>
    <row r="501" spans="1:6" ht="15.75" customHeight="1" x14ac:dyDescent="0.3">
      <c r="A501" s="5"/>
      <c r="B501" s="5"/>
      <c r="C501" s="5"/>
      <c r="D501" s="5"/>
      <c r="E501" s="5"/>
      <c r="F501" s="5"/>
    </row>
    <row r="502" spans="1:6" ht="15.75" customHeight="1" x14ac:dyDescent="0.3">
      <c r="A502" s="5"/>
      <c r="B502" s="5"/>
      <c r="C502" s="5"/>
      <c r="D502" s="5"/>
      <c r="E502" s="5"/>
      <c r="F502" s="5"/>
    </row>
    <row r="503" spans="1:6" ht="15.75" customHeight="1" x14ac:dyDescent="0.3">
      <c r="A503" s="5"/>
      <c r="B503" s="5"/>
      <c r="C503" s="5"/>
      <c r="D503" s="5"/>
      <c r="E503" s="5"/>
      <c r="F503" s="5"/>
    </row>
    <row r="504" spans="1:6" ht="15.75" customHeight="1" x14ac:dyDescent="0.3">
      <c r="A504" s="5"/>
      <c r="B504" s="5"/>
      <c r="C504" s="5"/>
      <c r="D504" s="5"/>
      <c r="E504" s="5"/>
      <c r="F504" s="5"/>
    </row>
    <row r="505" spans="1:6" ht="15.75" customHeight="1" x14ac:dyDescent="0.3">
      <c r="A505" s="5"/>
      <c r="B505" s="5"/>
      <c r="C505" s="5"/>
      <c r="D505" s="5"/>
      <c r="E505" s="5"/>
      <c r="F505" s="5"/>
    </row>
    <row r="506" spans="1:6" ht="15.75" customHeight="1" x14ac:dyDescent="0.3">
      <c r="A506" s="5"/>
      <c r="B506" s="5"/>
      <c r="C506" s="5"/>
      <c r="D506" s="5"/>
      <c r="E506" s="5"/>
      <c r="F506" s="5"/>
    </row>
    <row r="507" spans="1:6" ht="15.75" customHeight="1" x14ac:dyDescent="0.3">
      <c r="A507" s="5"/>
      <c r="B507" s="5"/>
      <c r="C507" s="5"/>
      <c r="D507" s="5"/>
      <c r="E507" s="5"/>
      <c r="F507" s="5"/>
    </row>
    <row r="508" spans="1:6" ht="15.75" customHeight="1" x14ac:dyDescent="0.3">
      <c r="A508" s="5"/>
      <c r="B508" s="5"/>
      <c r="C508" s="5"/>
      <c r="D508" s="5"/>
      <c r="E508" s="5"/>
      <c r="F508" s="5"/>
    </row>
    <row r="509" spans="1:6" ht="15.75" customHeight="1" x14ac:dyDescent="0.3">
      <c r="A509" s="5"/>
      <c r="B509" s="5"/>
      <c r="C509" s="5"/>
      <c r="D509" s="5"/>
      <c r="E509" s="5"/>
      <c r="F509" s="5"/>
    </row>
    <row r="510" spans="1:6" ht="15.75" customHeight="1" x14ac:dyDescent="0.3">
      <c r="A510" s="5"/>
      <c r="B510" s="5"/>
      <c r="C510" s="5"/>
      <c r="D510" s="5"/>
      <c r="E510" s="5"/>
      <c r="F510" s="5"/>
    </row>
    <row r="511" spans="1:6" ht="15.75" customHeight="1" x14ac:dyDescent="0.3">
      <c r="A511" s="5"/>
      <c r="B511" s="5"/>
      <c r="C511" s="5"/>
      <c r="D511" s="5"/>
      <c r="E511" s="5"/>
      <c r="F511" s="5"/>
    </row>
    <row r="512" spans="1:6" ht="15.75" customHeight="1" x14ac:dyDescent="0.3">
      <c r="A512" s="5"/>
      <c r="B512" s="5"/>
      <c r="C512" s="5"/>
      <c r="D512" s="5"/>
      <c r="E512" s="5"/>
      <c r="F512" s="5"/>
    </row>
    <row r="513" spans="1:6" ht="15.75" customHeight="1" x14ac:dyDescent="0.3">
      <c r="A513" s="5"/>
      <c r="B513" s="5"/>
      <c r="C513" s="5"/>
      <c r="D513" s="5"/>
      <c r="E513" s="5"/>
      <c r="F513" s="5"/>
    </row>
    <row r="514" spans="1:6" ht="15.75" customHeight="1" x14ac:dyDescent="0.3">
      <c r="A514" s="5"/>
      <c r="B514" s="5"/>
      <c r="C514" s="5"/>
      <c r="D514" s="5"/>
      <c r="E514" s="5"/>
      <c r="F514" s="5"/>
    </row>
    <row r="515" spans="1:6" ht="15.75" customHeight="1" x14ac:dyDescent="0.3">
      <c r="A515" s="5"/>
      <c r="B515" s="5"/>
      <c r="C515" s="5"/>
      <c r="D515" s="5"/>
      <c r="E515" s="5"/>
      <c r="F515" s="5"/>
    </row>
    <row r="516" spans="1:6" ht="15.75" customHeight="1" x14ac:dyDescent="0.3">
      <c r="A516" s="5"/>
      <c r="B516" s="5"/>
      <c r="C516" s="5"/>
      <c r="D516" s="5"/>
      <c r="E516" s="5"/>
      <c r="F516" s="5"/>
    </row>
    <row r="517" spans="1:6" ht="15.75" customHeight="1" x14ac:dyDescent="0.3">
      <c r="A517" s="5"/>
      <c r="B517" s="5"/>
      <c r="C517" s="5"/>
      <c r="D517" s="5"/>
      <c r="E517" s="5"/>
      <c r="F517" s="5"/>
    </row>
    <row r="518" spans="1:6" ht="15.75" customHeight="1" x14ac:dyDescent="0.3">
      <c r="A518" s="5"/>
      <c r="B518" s="5"/>
      <c r="C518" s="5"/>
      <c r="D518" s="5"/>
      <c r="E518" s="5"/>
      <c r="F518" s="5"/>
    </row>
    <row r="519" spans="1:6" ht="15.75" customHeight="1" x14ac:dyDescent="0.3">
      <c r="A519" s="5"/>
      <c r="B519" s="5"/>
      <c r="C519" s="5"/>
      <c r="D519" s="5"/>
      <c r="E519" s="5"/>
      <c r="F519" s="5"/>
    </row>
    <row r="520" spans="1:6" ht="15.75" customHeight="1" x14ac:dyDescent="0.3">
      <c r="A520" s="5"/>
      <c r="B520" s="5"/>
      <c r="C520" s="5"/>
      <c r="D520" s="5"/>
      <c r="E520" s="5"/>
      <c r="F520" s="5"/>
    </row>
    <row r="521" spans="1:6" ht="15.75" customHeight="1" x14ac:dyDescent="0.3">
      <c r="A521" s="5"/>
      <c r="B521" s="5"/>
      <c r="C521" s="5"/>
      <c r="D521" s="5"/>
      <c r="E521" s="5"/>
      <c r="F521" s="5"/>
    </row>
    <row r="522" spans="1:6" ht="15.75" customHeight="1" x14ac:dyDescent="0.3">
      <c r="A522" s="5"/>
      <c r="B522" s="5"/>
      <c r="C522" s="5"/>
      <c r="D522" s="5"/>
      <c r="E522" s="5"/>
      <c r="F522" s="5"/>
    </row>
    <row r="523" spans="1:6" ht="15.75" customHeight="1" x14ac:dyDescent="0.3">
      <c r="A523" s="5"/>
      <c r="B523" s="5"/>
      <c r="C523" s="5"/>
      <c r="D523" s="5"/>
      <c r="E523" s="5"/>
      <c r="F523" s="5"/>
    </row>
    <row r="524" spans="1:6" ht="15.75" customHeight="1" x14ac:dyDescent="0.3">
      <c r="A524" s="5"/>
      <c r="B524" s="5"/>
      <c r="C524" s="5"/>
      <c r="D524" s="5"/>
      <c r="E524" s="5"/>
      <c r="F524" s="5"/>
    </row>
    <row r="525" spans="1:6" ht="15.75" customHeight="1" x14ac:dyDescent="0.3">
      <c r="A525" s="5"/>
      <c r="B525" s="5"/>
      <c r="C525" s="5"/>
      <c r="D525" s="5"/>
      <c r="E525" s="5"/>
      <c r="F525" s="5"/>
    </row>
    <row r="526" spans="1:6" ht="15.75" customHeight="1" x14ac:dyDescent="0.3">
      <c r="A526" s="5"/>
      <c r="B526" s="5"/>
      <c r="C526" s="5"/>
      <c r="D526" s="5"/>
      <c r="E526" s="5"/>
      <c r="F526" s="5"/>
    </row>
    <row r="527" spans="1:6" ht="15.75" customHeight="1" x14ac:dyDescent="0.3">
      <c r="A527" s="5"/>
      <c r="B527" s="5"/>
      <c r="C527" s="5"/>
      <c r="D527" s="5"/>
      <c r="E527" s="5"/>
      <c r="F527" s="5"/>
    </row>
    <row r="528" spans="1:6" ht="15.75" customHeight="1" x14ac:dyDescent="0.3">
      <c r="A528" s="5"/>
      <c r="B528" s="5"/>
      <c r="C528" s="5"/>
      <c r="D528" s="5"/>
      <c r="E528" s="5"/>
      <c r="F528" s="5"/>
    </row>
    <row r="529" spans="1:6" ht="15.75" customHeight="1" x14ac:dyDescent="0.3">
      <c r="A529" s="5"/>
      <c r="B529" s="5"/>
      <c r="C529" s="5"/>
      <c r="D529" s="5"/>
      <c r="E529" s="5"/>
      <c r="F529" s="5"/>
    </row>
    <row r="530" spans="1:6" ht="15.75" customHeight="1" x14ac:dyDescent="0.3">
      <c r="A530" s="5"/>
      <c r="B530" s="5"/>
      <c r="C530" s="5"/>
      <c r="D530" s="5"/>
      <c r="E530" s="5"/>
      <c r="F530" s="5"/>
    </row>
    <row r="531" spans="1:6" ht="15.75" customHeight="1" x14ac:dyDescent="0.3">
      <c r="A531" s="5"/>
      <c r="B531" s="5"/>
      <c r="C531" s="5"/>
      <c r="D531" s="5"/>
      <c r="E531" s="5"/>
      <c r="F531" s="5"/>
    </row>
    <row r="532" spans="1:6" ht="15.75" customHeight="1" x14ac:dyDescent="0.3">
      <c r="A532" s="5"/>
      <c r="B532" s="5"/>
      <c r="C532" s="5"/>
      <c r="D532" s="5"/>
      <c r="E532" s="5"/>
      <c r="F532" s="5"/>
    </row>
    <row r="533" spans="1:6" ht="15.75" customHeight="1" x14ac:dyDescent="0.3">
      <c r="A533" s="5"/>
      <c r="B533" s="5"/>
      <c r="C533" s="5"/>
      <c r="D533" s="5"/>
      <c r="E533" s="5"/>
      <c r="F533" s="5"/>
    </row>
    <row r="534" spans="1:6" ht="15.75" customHeight="1" x14ac:dyDescent="0.3">
      <c r="A534" s="5"/>
      <c r="B534" s="5"/>
      <c r="C534" s="5"/>
      <c r="D534" s="5"/>
      <c r="E534" s="5"/>
      <c r="F534" s="5"/>
    </row>
    <row r="535" spans="1:6" ht="15.75" customHeight="1" x14ac:dyDescent="0.3">
      <c r="A535" s="5"/>
      <c r="B535" s="5"/>
      <c r="C535" s="5"/>
      <c r="D535" s="5"/>
      <c r="E535" s="5"/>
      <c r="F535" s="5"/>
    </row>
    <row r="536" spans="1:6" ht="15.75" customHeight="1" x14ac:dyDescent="0.3">
      <c r="A536" s="5"/>
      <c r="B536" s="5"/>
      <c r="C536" s="5"/>
      <c r="D536" s="5"/>
      <c r="E536" s="5"/>
      <c r="F536" s="5"/>
    </row>
    <row r="537" spans="1:6" ht="15.75" customHeight="1" x14ac:dyDescent="0.3">
      <c r="A537" s="5"/>
      <c r="B537" s="5"/>
      <c r="C537" s="5"/>
      <c r="D537" s="5"/>
      <c r="E537" s="5"/>
      <c r="F537" s="5"/>
    </row>
    <row r="538" spans="1:6" ht="15.75" customHeight="1" x14ac:dyDescent="0.3">
      <c r="A538" s="5"/>
      <c r="B538" s="5"/>
      <c r="C538" s="5"/>
      <c r="D538" s="5"/>
      <c r="E538" s="5"/>
      <c r="F538" s="5"/>
    </row>
    <row r="539" spans="1:6" ht="15.75" customHeight="1" x14ac:dyDescent="0.3">
      <c r="A539" s="5"/>
      <c r="B539" s="5"/>
      <c r="C539" s="5"/>
      <c r="D539" s="5"/>
      <c r="E539" s="5"/>
      <c r="F539" s="5"/>
    </row>
    <row r="540" spans="1:6" ht="15.75" customHeight="1" x14ac:dyDescent="0.3">
      <c r="A540" s="5"/>
      <c r="B540" s="5"/>
      <c r="C540" s="5"/>
      <c r="D540" s="5"/>
      <c r="E540" s="5"/>
      <c r="F540" s="5"/>
    </row>
    <row r="541" spans="1:6" ht="15.75" customHeight="1" x14ac:dyDescent="0.3">
      <c r="A541" s="5"/>
      <c r="B541" s="5"/>
      <c r="C541" s="5"/>
      <c r="D541" s="5"/>
      <c r="E541" s="5"/>
      <c r="F541" s="5"/>
    </row>
    <row r="542" spans="1:6" ht="15.75" customHeight="1" x14ac:dyDescent="0.3">
      <c r="A542" s="5"/>
      <c r="B542" s="5"/>
      <c r="C542" s="5"/>
      <c r="D542" s="5"/>
      <c r="E542" s="5"/>
      <c r="F542" s="5"/>
    </row>
    <row r="543" spans="1:6" ht="15.75" customHeight="1" x14ac:dyDescent="0.3">
      <c r="A543" s="5"/>
      <c r="B543" s="5"/>
      <c r="C543" s="5"/>
      <c r="D543" s="5"/>
      <c r="E543" s="5"/>
      <c r="F543" s="5"/>
    </row>
    <row r="544" spans="1:6" ht="15.75" customHeight="1" x14ac:dyDescent="0.3">
      <c r="A544" s="5"/>
      <c r="B544" s="5"/>
      <c r="C544" s="5"/>
      <c r="D544" s="5"/>
      <c r="E544" s="5"/>
      <c r="F544" s="5"/>
    </row>
    <row r="545" spans="1:6" ht="15.75" customHeight="1" x14ac:dyDescent="0.3">
      <c r="A545" s="5"/>
      <c r="B545" s="5"/>
      <c r="C545" s="5"/>
      <c r="D545" s="5"/>
      <c r="E545" s="5"/>
      <c r="F545" s="5"/>
    </row>
    <row r="546" spans="1:6" ht="15.75" customHeight="1" x14ac:dyDescent="0.3">
      <c r="A546" s="5"/>
      <c r="B546" s="5"/>
      <c r="C546" s="5"/>
      <c r="D546" s="5"/>
      <c r="E546" s="5"/>
      <c r="F546" s="5"/>
    </row>
    <row r="547" spans="1:6" ht="15.75" customHeight="1" x14ac:dyDescent="0.3">
      <c r="A547" s="5"/>
      <c r="B547" s="5"/>
      <c r="C547" s="5"/>
      <c r="D547" s="5"/>
      <c r="E547" s="5"/>
      <c r="F547" s="5"/>
    </row>
    <row r="548" spans="1:6" ht="15.75" customHeight="1" x14ac:dyDescent="0.3">
      <c r="A548" s="5"/>
      <c r="B548" s="5"/>
      <c r="C548" s="5"/>
      <c r="D548" s="5"/>
      <c r="E548" s="5"/>
      <c r="F548" s="5"/>
    </row>
    <row r="549" spans="1:6" ht="15.75" customHeight="1" x14ac:dyDescent="0.3">
      <c r="A549" s="5"/>
      <c r="B549" s="5"/>
      <c r="C549" s="5"/>
      <c r="D549" s="5"/>
      <c r="E549" s="5"/>
      <c r="F549" s="5"/>
    </row>
    <row r="550" spans="1:6" ht="15.75" customHeight="1" x14ac:dyDescent="0.3">
      <c r="A550" s="5"/>
      <c r="B550" s="5"/>
      <c r="C550" s="5"/>
      <c r="D550" s="5"/>
      <c r="E550" s="5"/>
      <c r="F550" s="5"/>
    </row>
    <row r="551" spans="1:6" ht="15.75" customHeight="1" x14ac:dyDescent="0.3">
      <c r="A551" s="5"/>
      <c r="B551" s="5"/>
      <c r="C551" s="5"/>
      <c r="D551" s="5"/>
      <c r="E551" s="5"/>
      <c r="F551" s="5"/>
    </row>
    <row r="552" spans="1:6" ht="15.75" customHeight="1" x14ac:dyDescent="0.3">
      <c r="A552" s="5"/>
      <c r="B552" s="5"/>
      <c r="C552" s="5"/>
      <c r="D552" s="5"/>
      <c r="E552" s="5"/>
      <c r="F552" s="5"/>
    </row>
    <row r="553" spans="1:6" ht="15.75" customHeight="1" x14ac:dyDescent="0.3">
      <c r="A553" s="5"/>
      <c r="B553" s="5"/>
      <c r="C553" s="5"/>
      <c r="D553" s="5"/>
      <c r="E553" s="5"/>
      <c r="F553" s="5"/>
    </row>
    <row r="554" spans="1:6" ht="15.75" customHeight="1" x14ac:dyDescent="0.3">
      <c r="A554" s="5"/>
      <c r="B554" s="5"/>
      <c r="C554" s="5"/>
      <c r="D554" s="5"/>
      <c r="E554" s="5"/>
      <c r="F554" s="5"/>
    </row>
    <row r="555" spans="1:6" ht="15.75" customHeight="1" x14ac:dyDescent="0.3">
      <c r="A555" s="5"/>
      <c r="B555" s="5"/>
      <c r="C555" s="5"/>
      <c r="D555" s="5"/>
      <c r="E555" s="5"/>
      <c r="F555" s="5"/>
    </row>
    <row r="556" spans="1:6" ht="15.75" customHeight="1" x14ac:dyDescent="0.3">
      <c r="A556" s="5"/>
      <c r="B556" s="5"/>
      <c r="C556" s="5"/>
      <c r="D556" s="5"/>
      <c r="E556" s="5"/>
      <c r="F556" s="5"/>
    </row>
    <row r="557" spans="1:6" ht="15.75" customHeight="1" x14ac:dyDescent="0.3">
      <c r="A557" s="5"/>
      <c r="B557" s="5"/>
      <c r="C557" s="5"/>
      <c r="D557" s="5"/>
      <c r="E557" s="5"/>
      <c r="F557" s="5"/>
    </row>
    <row r="558" spans="1:6" ht="15.75" customHeight="1" x14ac:dyDescent="0.3">
      <c r="A558" s="5"/>
      <c r="B558" s="5"/>
      <c r="C558" s="5"/>
      <c r="D558" s="5"/>
      <c r="E558" s="5"/>
      <c r="F558" s="5"/>
    </row>
    <row r="559" spans="1:6" ht="15.75" customHeight="1" x14ac:dyDescent="0.3">
      <c r="A559" s="5"/>
      <c r="B559" s="5"/>
      <c r="C559" s="5"/>
      <c r="D559" s="5"/>
      <c r="E559" s="5"/>
      <c r="F559" s="5"/>
    </row>
    <row r="560" spans="1:6" ht="15.75" customHeight="1" x14ac:dyDescent="0.3">
      <c r="A560" s="5"/>
      <c r="B560" s="5"/>
      <c r="C560" s="5"/>
      <c r="D560" s="5"/>
      <c r="E560" s="5"/>
      <c r="F560" s="5"/>
    </row>
    <row r="561" spans="1:6" ht="15.75" customHeight="1" x14ac:dyDescent="0.3">
      <c r="A561" s="5"/>
      <c r="B561" s="5"/>
      <c r="C561" s="5"/>
      <c r="D561" s="5"/>
      <c r="E561" s="5"/>
      <c r="F561" s="5"/>
    </row>
    <row r="562" spans="1:6" ht="15.75" customHeight="1" x14ac:dyDescent="0.3">
      <c r="A562" s="5"/>
      <c r="B562" s="5"/>
      <c r="C562" s="5"/>
      <c r="D562" s="5"/>
      <c r="E562" s="5"/>
      <c r="F562" s="5"/>
    </row>
    <row r="563" spans="1:6" ht="15.75" customHeight="1" x14ac:dyDescent="0.3">
      <c r="A563" s="5"/>
      <c r="B563" s="5"/>
      <c r="C563" s="5"/>
      <c r="D563" s="5"/>
      <c r="E563" s="5"/>
      <c r="F563" s="5"/>
    </row>
    <row r="564" spans="1:6" ht="15.75" customHeight="1" x14ac:dyDescent="0.3">
      <c r="A564" s="5"/>
      <c r="B564" s="5"/>
      <c r="C564" s="5"/>
      <c r="D564" s="5"/>
      <c r="E564" s="5"/>
      <c r="F564" s="5"/>
    </row>
    <row r="565" spans="1:6" ht="15.75" customHeight="1" x14ac:dyDescent="0.3">
      <c r="A565" s="5"/>
      <c r="B565" s="5"/>
      <c r="C565" s="5"/>
      <c r="D565" s="5"/>
      <c r="E565" s="5"/>
      <c r="F565" s="5"/>
    </row>
    <row r="566" spans="1:6" ht="15.75" customHeight="1" x14ac:dyDescent="0.3">
      <c r="A566" s="5"/>
      <c r="B566" s="5"/>
      <c r="C566" s="5"/>
      <c r="D566" s="5"/>
      <c r="E566" s="5"/>
      <c r="F566" s="5"/>
    </row>
    <row r="567" spans="1:6" ht="15.75" customHeight="1" x14ac:dyDescent="0.3">
      <c r="A567" s="5"/>
      <c r="B567" s="5"/>
      <c r="C567" s="5"/>
      <c r="D567" s="5"/>
      <c r="E567" s="5"/>
      <c r="F567" s="5"/>
    </row>
    <row r="568" spans="1:6" ht="15.75" customHeight="1" x14ac:dyDescent="0.3">
      <c r="A568" s="5"/>
      <c r="B568" s="5"/>
      <c r="C568" s="5"/>
      <c r="D568" s="5"/>
      <c r="E568" s="5"/>
      <c r="F568" s="5"/>
    </row>
    <row r="569" spans="1:6" ht="15.75" customHeight="1" x14ac:dyDescent="0.3">
      <c r="A569" s="5"/>
      <c r="B569" s="5"/>
      <c r="C569" s="5"/>
      <c r="D569" s="5"/>
      <c r="E569" s="5"/>
      <c r="F569" s="5"/>
    </row>
    <row r="570" spans="1:6" ht="15.75" customHeight="1" x14ac:dyDescent="0.3">
      <c r="A570" s="5"/>
      <c r="B570" s="5"/>
      <c r="C570" s="5"/>
      <c r="D570" s="5"/>
      <c r="E570" s="5"/>
      <c r="F570" s="5"/>
    </row>
    <row r="571" spans="1:6" ht="15.75" customHeight="1" x14ac:dyDescent="0.3">
      <c r="A571" s="5"/>
      <c r="B571" s="5"/>
      <c r="C571" s="5"/>
      <c r="D571" s="5"/>
      <c r="E571" s="5"/>
      <c r="F571" s="5"/>
    </row>
    <row r="572" spans="1:6" ht="15.75" customHeight="1" x14ac:dyDescent="0.3">
      <c r="A572" s="5"/>
      <c r="B572" s="5"/>
      <c r="C572" s="5"/>
      <c r="D572" s="5"/>
      <c r="E572" s="5"/>
      <c r="F572" s="5"/>
    </row>
    <row r="573" spans="1:6" ht="15.75" customHeight="1" x14ac:dyDescent="0.3">
      <c r="A573" s="5"/>
      <c r="B573" s="5"/>
      <c r="C573" s="5"/>
      <c r="D573" s="5"/>
      <c r="E573" s="5"/>
      <c r="F573" s="5"/>
    </row>
    <row r="574" spans="1:6" ht="15.75" customHeight="1" x14ac:dyDescent="0.3">
      <c r="A574" s="5"/>
      <c r="B574" s="5"/>
      <c r="C574" s="5"/>
      <c r="D574" s="5"/>
      <c r="E574" s="5"/>
      <c r="F574" s="5"/>
    </row>
    <row r="575" spans="1:6" ht="15.75" customHeight="1" x14ac:dyDescent="0.3">
      <c r="A575" s="5"/>
      <c r="B575" s="5"/>
      <c r="C575" s="5"/>
      <c r="D575" s="5"/>
      <c r="E575" s="5"/>
      <c r="F575" s="5"/>
    </row>
    <row r="576" spans="1:6" ht="15.75" customHeight="1" x14ac:dyDescent="0.3">
      <c r="A576" s="5"/>
      <c r="B576" s="5"/>
      <c r="C576" s="5"/>
      <c r="D576" s="5"/>
      <c r="E576" s="5"/>
      <c r="F576" s="5"/>
    </row>
    <row r="577" spans="1:6" ht="15.75" customHeight="1" x14ac:dyDescent="0.3">
      <c r="A577" s="5"/>
      <c r="B577" s="5"/>
      <c r="C577" s="5"/>
      <c r="D577" s="5"/>
      <c r="E577" s="5"/>
      <c r="F577" s="5"/>
    </row>
    <row r="578" spans="1:6" ht="15.75" customHeight="1" x14ac:dyDescent="0.3">
      <c r="A578" s="5"/>
      <c r="B578" s="5"/>
      <c r="C578" s="5"/>
      <c r="D578" s="5"/>
      <c r="E578" s="5"/>
      <c r="F578" s="5"/>
    </row>
    <row r="579" spans="1:6" ht="15.75" customHeight="1" x14ac:dyDescent="0.3">
      <c r="A579" s="5"/>
      <c r="B579" s="5"/>
      <c r="C579" s="5"/>
      <c r="D579" s="5"/>
      <c r="E579" s="5"/>
      <c r="F579" s="5"/>
    </row>
    <row r="580" spans="1:6" ht="15.75" customHeight="1" x14ac:dyDescent="0.3">
      <c r="A580" s="5"/>
      <c r="B580" s="5"/>
      <c r="C580" s="5"/>
      <c r="D580" s="5"/>
      <c r="E580" s="5"/>
      <c r="F580" s="5"/>
    </row>
    <row r="581" spans="1:6" ht="15.75" customHeight="1" x14ac:dyDescent="0.3">
      <c r="A581" s="5"/>
      <c r="B581" s="5"/>
      <c r="C581" s="5"/>
      <c r="D581" s="5"/>
      <c r="E581" s="5"/>
      <c r="F581" s="5"/>
    </row>
    <row r="582" spans="1:6" ht="15.75" customHeight="1" x14ac:dyDescent="0.3">
      <c r="A582" s="5"/>
      <c r="B582" s="5"/>
      <c r="C582" s="5"/>
      <c r="D582" s="5"/>
      <c r="E582" s="5"/>
      <c r="F582" s="5"/>
    </row>
    <row r="583" spans="1:6" ht="15.75" customHeight="1" x14ac:dyDescent="0.3">
      <c r="A583" s="5"/>
      <c r="B583" s="5"/>
      <c r="C583" s="5"/>
      <c r="D583" s="5"/>
      <c r="E583" s="5"/>
      <c r="F583" s="5"/>
    </row>
    <row r="584" spans="1:6" ht="15.75" customHeight="1" x14ac:dyDescent="0.3">
      <c r="A584" s="5"/>
      <c r="B584" s="5"/>
      <c r="C584" s="5"/>
      <c r="D584" s="5"/>
      <c r="E584" s="5"/>
      <c r="F584" s="5"/>
    </row>
    <row r="585" spans="1:6" ht="15.75" customHeight="1" x14ac:dyDescent="0.3">
      <c r="A585" s="5"/>
      <c r="B585" s="5"/>
      <c r="C585" s="5"/>
      <c r="D585" s="5"/>
      <c r="E585" s="5"/>
      <c r="F585" s="5"/>
    </row>
    <row r="586" spans="1:6" ht="15.75" customHeight="1" x14ac:dyDescent="0.3">
      <c r="A586" s="5"/>
      <c r="B586" s="5"/>
      <c r="C586" s="5"/>
      <c r="D586" s="5"/>
      <c r="E586" s="5"/>
      <c r="F586" s="5"/>
    </row>
    <row r="587" spans="1:6" ht="15.75" customHeight="1" x14ac:dyDescent="0.3">
      <c r="A587" s="5"/>
      <c r="B587" s="5"/>
      <c r="C587" s="5"/>
      <c r="D587" s="5"/>
      <c r="E587" s="5"/>
      <c r="F587" s="5"/>
    </row>
    <row r="588" spans="1:6" ht="15.75" customHeight="1" x14ac:dyDescent="0.3">
      <c r="A588" s="5"/>
      <c r="B588" s="5"/>
      <c r="C588" s="5"/>
      <c r="D588" s="5"/>
      <c r="E588" s="5"/>
      <c r="F588" s="5"/>
    </row>
    <row r="589" spans="1:6" ht="15.75" customHeight="1" x14ac:dyDescent="0.3">
      <c r="A589" s="5"/>
      <c r="B589" s="5"/>
      <c r="C589" s="5"/>
      <c r="D589" s="5"/>
      <c r="E589" s="5"/>
      <c r="F589" s="5"/>
    </row>
    <row r="590" spans="1:6" ht="15.75" customHeight="1" x14ac:dyDescent="0.3">
      <c r="A590" s="5"/>
      <c r="B590" s="5"/>
      <c r="C590" s="5"/>
      <c r="D590" s="5"/>
      <c r="E590" s="5"/>
      <c r="F590" s="5"/>
    </row>
    <row r="591" spans="1:6" ht="15.75" customHeight="1" x14ac:dyDescent="0.3">
      <c r="A591" s="5"/>
      <c r="B591" s="5"/>
      <c r="C591" s="5"/>
      <c r="D591" s="5"/>
      <c r="E591" s="5"/>
      <c r="F591" s="5"/>
    </row>
    <row r="592" spans="1:6" ht="15.75" customHeight="1" x14ac:dyDescent="0.3">
      <c r="A592" s="5"/>
      <c r="B592" s="5"/>
      <c r="C592" s="5"/>
      <c r="D592" s="5"/>
      <c r="E592" s="5"/>
      <c r="F592" s="5"/>
    </row>
    <row r="593" spans="1:6" ht="15.75" customHeight="1" x14ac:dyDescent="0.3">
      <c r="A593" s="5"/>
      <c r="B593" s="5"/>
      <c r="C593" s="5"/>
      <c r="D593" s="5"/>
      <c r="E593" s="5"/>
      <c r="F593" s="5"/>
    </row>
    <row r="594" spans="1:6" ht="15.75" customHeight="1" x14ac:dyDescent="0.3">
      <c r="A594" s="5"/>
      <c r="B594" s="5"/>
      <c r="C594" s="5"/>
      <c r="D594" s="5"/>
      <c r="E594" s="5"/>
      <c r="F594" s="5"/>
    </row>
    <row r="595" spans="1:6" ht="15.75" customHeight="1" x14ac:dyDescent="0.3">
      <c r="A595" s="5"/>
      <c r="B595" s="5"/>
      <c r="C595" s="5"/>
      <c r="D595" s="5"/>
      <c r="E595" s="5"/>
      <c r="F595" s="5"/>
    </row>
    <row r="596" spans="1:6" ht="15.75" customHeight="1" x14ac:dyDescent="0.3">
      <c r="A596" s="5"/>
      <c r="B596" s="5"/>
      <c r="C596" s="5"/>
      <c r="D596" s="5"/>
      <c r="E596" s="5"/>
      <c r="F596" s="5"/>
    </row>
    <row r="597" spans="1:6" ht="15.75" customHeight="1" x14ac:dyDescent="0.3">
      <c r="A597" s="5"/>
      <c r="B597" s="5"/>
      <c r="C597" s="5"/>
      <c r="D597" s="5"/>
      <c r="E597" s="5"/>
      <c r="F597" s="5"/>
    </row>
    <row r="598" spans="1:6" ht="15.75" customHeight="1" x14ac:dyDescent="0.3">
      <c r="A598" s="5"/>
      <c r="B598" s="5"/>
      <c r="C598" s="5"/>
      <c r="D598" s="5"/>
      <c r="E598" s="5"/>
      <c r="F598" s="5"/>
    </row>
    <row r="599" spans="1:6" ht="15.75" customHeight="1" x14ac:dyDescent="0.3">
      <c r="A599" s="5"/>
      <c r="B599" s="5"/>
      <c r="C599" s="5"/>
      <c r="D599" s="5"/>
      <c r="E599" s="5"/>
      <c r="F599" s="5"/>
    </row>
    <row r="600" spans="1:6" ht="15.75" customHeight="1" x14ac:dyDescent="0.3">
      <c r="A600" s="5"/>
      <c r="B600" s="5"/>
      <c r="C600" s="5"/>
      <c r="D600" s="5"/>
      <c r="E600" s="5"/>
      <c r="F600" s="5"/>
    </row>
    <row r="601" spans="1:6" ht="15.75" customHeight="1" x14ac:dyDescent="0.3">
      <c r="A601" s="5"/>
      <c r="B601" s="5"/>
      <c r="C601" s="5"/>
      <c r="D601" s="5"/>
      <c r="E601" s="5"/>
      <c r="F601" s="5"/>
    </row>
    <row r="602" spans="1:6" ht="15.75" customHeight="1" x14ac:dyDescent="0.3">
      <c r="A602" s="5"/>
      <c r="B602" s="5"/>
      <c r="C602" s="5"/>
      <c r="D602" s="5"/>
      <c r="E602" s="5"/>
      <c r="F602" s="5"/>
    </row>
    <row r="603" spans="1:6" ht="15.75" customHeight="1" x14ac:dyDescent="0.3">
      <c r="A603" s="5"/>
      <c r="B603" s="5"/>
      <c r="C603" s="5"/>
      <c r="D603" s="5"/>
      <c r="E603" s="5"/>
      <c r="F603" s="5"/>
    </row>
    <row r="604" spans="1:6" ht="15.75" customHeight="1" x14ac:dyDescent="0.3">
      <c r="A604" s="5"/>
      <c r="B604" s="5"/>
      <c r="C604" s="5"/>
      <c r="D604" s="5"/>
      <c r="E604" s="5"/>
      <c r="F604" s="5"/>
    </row>
    <row r="605" spans="1:6" ht="15.75" customHeight="1" x14ac:dyDescent="0.3">
      <c r="A605" s="5"/>
      <c r="B605" s="5"/>
      <c r="C605" s="5"/>
      <c r="D605" s="5"/>
      <c r="E605" s="5"/>
      <c r="F605" s="5"/>
    </row>
    <row r="606" spans="1:6" ht="15.75" customHeight="1" x14ac:dyDescent="0.3">
      <c r="A606" s="5"/>
      <c r="B606" s="5"/>
      <c r="C606" s="5"/>
      <c r="D606" s="5"/>
      <c r="E606" s="5"/>
      <c r="F606" s="5"/>
    </row>
    <row r="607" spans="1:6" ht="15.75" customHeight="1" x14ac:dyDescent="0.3">
      <c r="A607" s="5"/>
      <c r="B607" s="5"/>
      <c r="C607" s="5"/>
      <c r="D607" s="5"/>
      <c r="E607" s="5"/>
      <c r="F607" s="5"/>
    </row>
    <row r="608" spans="1:6" ht="15.75" customHeight="1" x14ac:dyDescent="0.3">
      <c r="A608" s="5"/>
      <c r="B608" s="5"/>
      <c r="C608" s="5"/>
      <c r="D608" s="5"/>
      <c r="E608" s="5"/>
      <c r="F608" s="5"/>
    </row>
    <row r="609" spans="1:6" ht="15.75" customHeight="1" x14ac:dyDescent="0.3">
      <c r="A609" s="5"/>
      <c r="B609" s="5"/>
      <c r="C609" s="5"/>
      <c r="D609" s="5"/>
      <c r="E609" s="5"/>
      <c r="F609" s="5"/>
    </row>
    <row r="610" spans="1:6" ht="15.75" customHeight="1" x14ac:dyDescent="0.3">
      <c r="A610" s="5"/>
      <c r="B610" s="5"/>
      <c r="C610" s="5"/>
      <c r="D610" s="5"/>
      <c r="E610" s="5"/>
      <c r="F610" s="5"/>
    </row>
    <row r="611" spans="1:6" ht="15.75" customHeight="1" x14ac:dyDescent="0.3">
      <c r="A611" s="5"/>
      <c r="B611" s="5"/>
      <c r="C611" s="5"/>
      <c r="D611" s="5"/>
      <c r="E611" s="5"/>
      <c r="F611" s="5"/>
    </row>
    <row r="612" spans="1:6" ht="15.75" customHeight="1" x14ac:dyDescent="0.3">
      <c r="A612" s="5"/>
      <c r="B612" s="5"/>
      <c r="C612" s="5"/>
      <c r="D612" s="5"/>
      <c r="E612" s="5"/>
      <c r="F612" s="5"/>
    </row>
    <row r="613" spans="1:6" ht="15.75" customHeight="1" x14ac:dyDescent="0.3">
      <c r="A613" s="5"/>
      <c r="B613" s="5"/>
      <c r="C613" s="5"/>
      <c r="D613" s="5"/>
      <c r="E613" s="5"/>
      <c r="F613" s="5"/>
    </row>
    <row r="614" spans="1:6" ht="15.75" customHeight="1" x14ac:dyDescent="0.3">
      <c r="A614" s="5"/>
      <c r="B614" s="5"/>
      <c r="C614" s="5"/>
      <c r="D614" s="5"/>
      <c r="E614" s="5"/>
      <c r="F614" s="5"/>
    </row>
    <row r="615" spans="1:6" ht="15.75" customHeight="1" x14ac:dyDescent="0.3">
      <c r="A615" s="5"/>
      <c r="B615" s="5"/>
      <c r="C615" s="5"/>
      <c r="D615" s="5"/>
      <c r="E615" s="5"/>
      <c r="F615" s="5"/>
    </row>
    <row r="616" spans="1:6" ht="15.75" customHeight="1" x14ac:dyDescent="0.3">
      <c r="A616" s="5"/>
      <c r="B616" s="5"/>
      <c r="C616" s="5"/>
      <c r="D616" s="5"/>
      <c r="E616" s="5"/>
      <c r="F616" s="5"/>
    </row>
    <row r="617" spans="1:6" ht="15.75" customHeight="1" x14ac:dyDescent="0.3">
      <c r="A617" s="5"/>
      <c r="B617" s="5"/>
      <c r="C617" s="5"/>
      <c r="D617" s="5"/>
      <c r="E617" s="5"/>
      <c r="F617" s="5"/>
    </row>
    <row r="618" spans="1:6" ht="15.75" customHeight="1" x14ac:dyDescent="0.3">
      <c r="A618" s="5"/>
      <c r="B618" s="5"/>
      <c r="C618" s="5"/>
      <c r="D618" s="5"/>
      <c r="E618" s="5"/>
      <c r="F618" s="5"/>
    </row>
    <row r="619" spans="1:6" ht="15.75" customHeight="1" x14ac:dyDescent="0.3">
      <c r="A619" s="5"/>
      <c r="B619" s="5"/>
      <c r="C619" s="5"/>
      <c r="D619" s="5"/>
      <c r="E619" s="5"/>
      <c r="F619" s="5"/>
    </row>
    <row r="620" spans="1:6" ht="15.75" customHeight="1" x14ac:dyDescent="0.3">
      <c r="A620" s="5"/>
      <c r="B620" s="5"/>
      <c r="C620" s="5"/>
      <c r="D620" s="5"/>
      <c r="E620" s="5"/>
      <c r="F620" s="5"/>
    </row>
    <row r="621" spans="1:6" ht="15.75" customHeight="1" x14ac:dyDescent="0.3">
      <c r="A621" s="5"/>
      <c r="B621" s="5"/>
      <c r="C621" s="5"/>
      <c r="D621" s="5"/>
      <c r="E621" s="5"/>
      <c r="F621" s="5"/>
    </row>
    <row r="622" spans="1:6" ht="15.75" customHeight="1" x14ac:dyDescent="0.3">
      <c r="A622" s="5"/>
      <c r="B622" s="5"/>
      <c r="C622" s="5"/>
      <c r="D622" s="5"/>
      <c r="E622" s="5"/>
      <c r="F622" s="5"/>
    </row>
    <row r="623" spans="1:6" ht="15.75" customHeight="1" x14ac:dyDescent="0.3">
      <c r="A623" s="5"/>
      <c r="B623" s="5"/>
      <c r="C623" s="5"/>
      <c r="D623" s="5"/>
      <c r="E623" s="5"/>
      <c r="F623" s="5"/>
    </row>
    <row r="624" spans="1:6" ht="15.75" customHeight="1" x14ac:dyDescent="0.3">
      <c r="A624" s="5"/>
      <c r="B624" s="5"/>
      <c r="C624" s="5"/>
      <c r="D624" s="5"/>
      <c r="E624" s="5"/>
      <c r="F624" s="5"/>
    </row>
    <row r="625" spans="1:6" ht="15.75" customHeight="1" x14ac:dyDescent="0.3">
      <c r="A625" s="5"/>
      <c r="B625" s="5"/>
      <c r="C625" s="5"/>
      <c r="D625" s="5"/>
      <c r="E625" s="5"/>
      <c r="F625" s="5"/>
    </row>
    <row r="626" spans="1:6" ht="15.75" customHeight="1" x14ac:dyDescent="0.3">
      <c r="A626" s="5"/>
      <c r="B626" s="5"/>
      <c r="C626" s="5"/>
      <c r="D626" s="5"/>
      <c r="E626" s="5"/>
      <c r="F626" s="5"/>
    </row>
    <row r="627" spans="1:6" ht="15.75" customHeight="1" x14ac:dyDescent="0.3">
      <c r="A627" s="5"/>
      <c r="B627" s="5"/>
      <c r="C627" s="5"/>
      <c r="D627" s="5"/>
      <c r="E627" s="5"/>
      <c r="F627" s="5"/>
    </row>
    <row r="628" spans="1:6" ht="15.75" customHeight="1" x14ac:dyDescent="0.3">
      <c r="A628" s="5"/>
      <c r="B628" s="5"/>
      <c r="C628" s="5"/>
      <c r="D628" s="5"/>
      <c r="E628" s="5"/>
      <c r="F628" s="5"/>
    </row>
    <row r="629" spans="1:6" ht="15.75" customHeight="1" x14ac:dyDescent="0.3">
      <c r="A629" s="5"/>
      <c r="B629" s="5"/>
      <c r="C629" s="5"/>
      <c r="D629" s="5"/>
      <c r="E629" s="5"/>
      <c r="F629" s="5"/>
    </row>
    <row r="630" spans="1:6" ht="15.75" customHeight="1" x14ac:dyDescent="0.3">
      <c r="A630" s="5"/>
      <c r="B630" s="5"/>
      <c r="C630" s="5"/>
      <c r="D630" s="5"/>
      <c r="E630" s="5"/>
      <c r="F630" s="5"/>
    </row>
    <row r="631" spans="1:6" ht="15.75" customHeight="1" x14ac:dyDescent="0.3">
      <c r="A631" s="5"/>
      <c r="B631" s="5"/>
      <c r="C631" s="5"/>
      <c r="D631" s="5"/>
      <c r="E631" s="5"/>
      <c r="F631" s="5"/>
    </row>
    <row r="632" spans="1:6" ht="15.75" customHeight="1" x14ac:dyDescent="0.3">
      <c r="A632" s="5"/>
      <c r="B632" s="5"/>
      <c r="C632" s="5"/>
      <c r="D632" s="5"/>
      <c r="E632" s="5"/>
      <c r="F632" s="5"/>
    </row>
    <row r="633" spans="1:6" ht="15.75" customHeight="1" x14ac:dyDescent="0.3">
      <c r="A633" s="5"/>
      <c r="B633" s="5"/>
      <c r="C633" s="5"/>
      <c r="D633" s="5"/>
      <c r="E633" s="5"/>
      <c r="F633" s="5"/>
    </row>
    <row r="634" spans="1:6" ht="15.75" customHeight="1" x14ac:dyDescent="0.3">
      <c r="A634" s="5"/>
      <c r="B634" s="5"/>
      <c r="C634" s="5"/>
      <c r="D634" s="5"/>
      <c r="E634" s="5"/>
      <c r="F634" s="5"/>
    </row>
    <row r="635" spans="1:6" ht="15.75" customHeight="1" x14ac:dyDescent="0.3">
      <c r="A635" s="5"/>
      <c r="B635" s="5"/>
      <c r="C635" s="5"/>
      <c r="D635" s="5"/>
      <c r="E635" s="5"/>
      <c r="F635" s="5"/>
    </row>
    <row r="636" spans="1:6" ht="15.75" customHeight="1" x14ac:dyDescent="0.3">
      <c r="A636" s="5"/>
      <c r="B636" s="5"/>
      <c r="C636" s="5"/>
      <c r="D636" s="5"/>
      <c r="E636" s="5"/>
      <c r="F636" s="5"/>
    </row>
    <row r="637" spans="1:6" ht="15.75" customHeight="1" x14ac:dyDescent="0.3">
      <c r="A637" s="5"/>
      <c r="B637" s="5"/>
      <c r="C637" s="5"/>
      <c r="D637" s="5"/>
      <c r="E637" s="5"/>
      <c r="F637" s="5"/>
    </row>
    <row r="638" spans="1:6" ht="15.75" customHeight="1" x14ac:dyDescent="0.3">
      <c r="A638" s="5"/>
      <c r="B638" s="5"/>
      <c r="C638" s="5"/>
      <c r="D638" s="5"/>
      <c r="E638" s="5"/>
      <c r="F638" s="5"/>
    </row>
    <row r="639" spans="1:6" ht="15.75" customHeight="1" x14ac:dyDescent="0.3">
      <c r="A639" s="5"/>
      <c r="B639" s="5"/>
      <c r="C639" s="5"/>
      <c r="D639" s="5"/>
      <c r="E639" s="5"/>
      <c r="F639" s="5"/>
    </row>
    <row r="640" spans="1:6" ht="15.75" customHeight="1" x14ac:dyDescent="0.3">
      <c r="A640" s="5"/>
      <c r="B640" s="5"/>
      <c r="C640" s="5"/>
      <c r="D640" s="5"/>
      <c r="E640" s="5"/>
      <c r="F640" s="5"/>
    </row>
    <row r="641" spans="1:6" ht="15.75" customHeight="1" x14ac:dyDescent="0.3">
      <c r="A641" s="5"/>
      <c r="B641" s="5"/>
      <c r="C641" s="5"/>
      <c r="D641" s="5"/>
      <c r="E641" s="5"/>
      <c r="F641" s="5"/>
    </row>
    <row r="642" spans="1:6" ht="15.75" customHeight="1" x14ac:dyDescent="0.3">
      <c r="A642" s="5"/>
      <c r="B642" s="5"/>
      <c r="C642" s="5"/>
      <c r="D642" s="5"/>
      <c r="E642" s="5"/>
      <c r="F642" s="5"/>
    </row>
    <row r="643" spans="1:6" ht="15.75" customHeight="1" x14ac:dyDescent="0.3">
      <c r="A643" s="5"/>
      <c r="B643" s="5"/>
      <c r="C643" s="5"/>
      <c r="D643" s="5"/>
      <c r="E643" s="5"/>
      <c r="F643" s="5"/>
    </row>
    <row r="644" spans="1:6" ht="15.75" customHeight="1" x14ac:dyDescent="0.3">
      <c r="A644" s="5"/>
      <c r="B644" s="5"/>
      <c r="C644" s="5"/>
      <c r="D644" s="5"/>
      <c r="E644" s="5"/>
      <c r="F644" s="5"/>
    </row>
    <row r="645" spans="1:6" ht="15.75" customHeight="1" x14ac:dyDescent="0.3">
      <c r="A645" s="5"/>
      <c r="B645" s="5"/>
      <c r="C645" s="5"/>
      <c r="D645" s="5"/>
      <c r="E645" s="5"/>
      <c r="F645" s="5"/>
    </row>
    <row r="646" spans="1:6" ht="15.75" customHeight="1" x14ac:dyDescent="0.3">
      <c r="A646" s="5"/>
      <c r="B646" s="5"/>
      <c r="C646" s="5"/>
      <c r="D646" s="5"/>
      <c r="E646" s="5"/>
      <c r="F646" s="5"/>
    </row>
    <row r="647" spans="1:6" ht="15.75" customHeight="1" x14ac:dyDescent="0.3">
      <c r="A647" s="5"/>
      <c r="B647" s="5"/>
      <c r="C647" s="5"/>
      <c r="D647" s="5"/>
      <c r="E647" s="5"/>
      <c r="F647" s="5"/>
    </row>
    <row r="648" spans="1:6" ht="15.75" customHeight="1" x14ac:dyDescent="0.3">
      <c r="A648" s="5"/>
      <c r="B648" s="5"/>
      <c r="C648" s="5"/>
      <c r="D648" s="5"/>
      <c r="E648" s="5"/>
      <c r="F648" s="5"/>
    </row>
    <row r="649" spans="1:6" ht="15.75" customHeight="1" x14ac:dyDescent="0.3">
      <c r="A649" s="5"/>
      <c r="B649" s="5"/>
      <c r="C649" s="5"/>
      <c r="D649" s="5"/>
      <c r="E649" s="5"/>
      <c r="F649" s="5"/>
    </row>
    <row r="650" spans="1:6" ht="15.75" customHeight="1" x14ac:dyDescent="0.3">
      <c r="A650" s="5"/>
      <c r="B650" s="5"/>
      <c r="C650" s="5"/>
      <c r="D650" s="5"/>
      <c r="E650" s="5"/>
      <c r="F650" s="5"/>
    </row>
    <row r="651" spans="1:6" ht="15.75" customHeight="1" x14ac:dyDescent="0.3">
      <c r="A651" s="5"/>
      <c r="B651" s="5"/>
      <c r="C651" s="5"/>
      <c r="D651" s="5"/>
      <c r="E651" s="5"/>
      <c r="F651" s="5"/>
    </row>
    <row r="652" spans="1:6" ht="15.75" customHeight="1" x14ac:dyDescent="0.3">
      <c r="A652" s="5"/>
      <c r="B652" s="5"/>
      <c r="C652" s="5"/>
      <c r="D652" s="5"/>
      <c r="E652" s="5"/>
      <c r="F652" s="5"/>
    </row>
    <row r="653" spans="1:6" ht="15.75" customHeight="1" x14ac:dyDescent="0.3">
      <c r="A653" s="5"/>
      <c r="B653" s="5"/>
      <c r="C653" s="5"/>
      <c r="D653" s="5"/>
      <c r="E653" s="5"/>
      <c r="F653" s="5"/>
    </row>
    <row r="654" spans="1:6" ht="15.75" customHeight="1" x14ac:dyDescent="0.3">
      <c r="A654" s="5"/>
      <c r="B654" s="5"/>
      <c r="C654" s="5"/>
      <c r="D654" s="5"/>
      <c r="E654" s="5"/>
      <c r="F654" s="5"/>
    </row>
    <row r="655" spans="1:6" ht="15.75" customHeight="1" x14ac:dyDescent="0.3">
      <c r="A655" s="5"/>
      <c r="B655" s="5"/>
      <c r="C655" s="5"/>
      <c r="D655" s="5"/>
      <c r="E655" s="5"/>
      <c r="F655" s="5"/>
    </row>
    <row r="656" spans="1:6" ht="15.75" customHeight="1" x14ac:dyDescent="0.3">
      <c r="A656" s="5"/>
      <c r="B656" s="5"/>
      <c r="C656" s="5"/>
      <c r="D656" s="5"/>
      <c r="E656" s="5"/>
      <c r="F656" s="5"/>
    </row>
    <row r="657" spans="1:6" ht="15.75" customHeight="1" x14ac:dyDescent="0.3">
      <c r="A657" s="5"/>
      <c r="B657" s="5"/>
      <c r="C657" s="5"/>
      <c r="D657" s="5"/>
      <c r="E657" s="5"/>
      <c r="F657" s="5"/>
    </row>
    <row r="658" spans="1:6" ht="15.75" customHeight="1" x14ac:dyDescent="0.3">
      <c r="A658" s="5"/>
      <c r="B658" s="5"/>
      <c r="C658" s="5"/>
      <c r="D658" s="5"/>
      <c r="E658" s="5"/>
      <c r="F658" s="5"/>
    </row>
    <row r="659" spans="1:6" ht="15.75" customHeight="1" x14ac:dyDescent="0.3">
      <c r="A659" s="5"/>
      <c r="B659" s="5"/>
      <c r="C659" s="5"/>
      <c r="D659" s="5"/>
      <c r="E659" s="5"/>
      <c r="F659" s="5"/>
    </row>
    <row r="660" spans="1:6" ht="15.75" customHeight="1" x14ac:dyDescent="0.3">
      <c r="A660" s="5"/>
      <c r="B660" s="5"/>
      <c r="C660" s="5"/>
      <c r="D660" s="5"/>
      <c r="E660" s="5"/>
      <c r="F660" s="5"/>
    </row>
    <row r="661" spans="1:6" ht="15.75" customHeight="1" x14ac:dyDescent="0.3">
      <c r="A661" s="5"/>
      <c r="B661" s="5"/>
      <c r="C661" s="5"/>
      <c r="D661" s="5"/>
      <c r="E661" s="5"/>
      <c r="F661" s="5"/>
    </row>
    <row r="662" spans="1:6" ht="15.75" customHeight="1" x14ac:dyDescent="0.3">
      <c r="A662" s="5"/>
      <c r="B662" s="5"/>
      <c r="C662" s="5"/>
      <c r="D662" s="5"/>
      <c r="E662" s="5"/>
      <c r="F662" s="5"/>
    </row>
    <row r="663" spans="1:6" ht="15.75" customHeight="1" x14ac:dyDescent="0.3">
      <c r="A663" s="5"/>
      <c r="B663" s="5"/>
      <c r="C663" s="5"/>
      <c r="D663" s="5"/>
      <c r="E663" s="5"/>
      <c r="F663" s="5"/>
    </row>
    <row r="664" spans="1:6" ht="15.75" customHeight="1" x14ac:dyDescent="0.3">
      <c r="A664" s="5"/>
      <c r="B664" s="5"/>
      <c r="C664" s="5"/>
      <c r="D664" s="5"/>
      <c r="E664" s="5"/>
      <c r="F664" s="5"/>
    </row>
    <row r="665" spans="1:6" ht="15.75" customHeight="1" x14ac:dyDescent="0.3">
      <c r="A665" s="5"/>
      <c r="B665" s="5"/>
      <c r="C665" s="5"/>
      <c r="D665" s="5"/>
      <c r="E665" s="5"/>
      <c r="F665" s="5"/>
    </row>
    <row r="666" spans="1:6" ht="15.75" customHeight="1" x14ac:dyDescent="0.3">
      <c r="A666" s="5"/>
      <c r="B666" s="5"/>
      <c r="C666" s="5"/>
      <c r="D666" s="5"/>
      <c r="E666" s="5"/>
      <c r="F666" s="5"/>
    </row>
    <row r="667" spans="1:6" ht="15.75" customHeight="1" x14ac:dyDescent="0.3">
      <c r="A667" s="5"/>
      <c r="B667" s="5"/>
      <c r="C667" s="5"/>
      <c r="D667" s="5"/>
      <c r="E667" s="5"/>
      <c r="F667" s="5"/>
    </row>
    <row r="668" spans="1:6" ht="15.75" customHeight="1" x14ac:dyDescent="0.3">
      <c r="A668" s="5"/>
      <c r="B668" s="5"/>
      <c r="C668" s="5"/>
      <c r="D668" s="5"/>
      <c r="E668" s="5"/>
      <c r="F668" s="5"/>
    </row>
    <row r="669" spans="1:6" ht="15.75" customHeight="1" x14ac:dyDescent="0.3">
      <c r="A669" s="5"/>
      <c r="B669" s="5"/>
      <c r="C669" s="5"/>
      <c r="D669" s="5"/>
      <c r="E669" s="5"/>
      <c r="F669" s="5"/>
    </row>
    <row r="670" spans="1:6" ht="15.75" customHeight="1" x14ac:dyDescent="0.3">
      <c r="A670" s="5"/>
      <c r="B670" s="5"/>
      <c r="C670" s="5"/>
      <c r="D670" s="5"/>
      <c r="E670" s="5"/>
      <c r="F670" s="5"/>
    </row>
    <row r="671" spans="1:6" ht="15.75" customHeight="1" x14ac:dyDescent="0.3">
      <c r="A671" s="5"/>
      <c r="B671" s="5"/>
      <c r="C671" s="5"/>
      <c r="D671" s="5"/>
      <c r="E671" s="5"/>
      <c r="F671" s="5"/>
    </row>
    <row r="672" spans="1:6" ht="15.75" customHeight="1" x14ac:dyDescent="0.3">
      <c r="A672" s="5"/>
      <c r="B672" s="5"/>
      <c r="C672" s="5"/>
      <c r="D672" s="5"/>
      <c r="E672" s="5"/>
      <c r="F672" s="5"/>
    </row>
    <row r="673" spans="1:6" ht="15.75" customHeight="1" x14ac:dyDescent="0.3">
      <c r="A673" s="5"/>
      <c r="B673" s="5"/>
      <c r="C673" s="5"/>
      <c r="D673" s="5"/>
      <c r="E673" s="5"/>
      <c r="F673" s="5"/>
    </row>
    <row r="674" spans="1:6" ht="15.75" customHeight="1" x14ac:dyDescent="0.3">
      <c r="A674" s="5"/>
      <c r="B674" s="5"/>
      <c r="C674" s="5"/>
      <c r="D674" s="5"/>
      <c r="E674" s="5"/>
      <c r="F674" s="5"/>
    </row>
    <row r="675" spans="1:6" ht="15.75" customHeight="1" x14ac:dyDescent="0.3">
      <c r="A675" s="5"/>
      <c r="B675" s="5"/>
      <c r="C675" s="5"/>
      <c r="D675" s="5"/>
      <c r="E675" s="5"/>
      <c r="F675" s="5"/>
    </row>
    <row r="676" spans="1:6" ht="15.75" customHeight="1" x14ac:dyDescent="0.3">
      <c r="A676" s="5"/>
      <c r="B676" s="5"/>
      <c r="C676" s="5"/>
      <c r="D676" s="5"/>
      <c r="E676" s="5"/>
      <c r="F676" s="5"/>
    </row>
    <row r="677" spans="1:6" ht="15.75" customHeight="1" x14ac:dyDescent="0.3">
      <c r="A677" s="5"/>
      <c r="B677" s="5"/>
      <c r="C677" s="5"/>
      <c r="D677" s="5"/>
      <c r="E677" s="5"/>
      <c r="F677" s="5"/>
    </row>
    <row r="678" spans="1:6" ht="15.75" customHeight="1" x14ac:dyDescent="0.3">
      <c r="A678" s="5"/>
      <c r="B678" s="5"/>
      <c r="C678" s="5"/>
      <c r="D678" s="5"/>
      <c r="E678" s="5"/>
      <c r="F678" s="5"/>
    </row>
    <row r="679" spans="1:6" ht="15.75" customHeight="1" x14ac:dyDescent="0.3">
      <c r="A679" s="5"/>
      <c r="B679" s="5"/>
      <c r="C679" s="5"/>
      <c r="D679" s="5"/>
      <c r="E679" s="5"/>
      <c r="F679" s="5"/>
    </row>
    <row r="680" spans="1:6" ht="15.75" customHeight="1" x14ac:dyDescent="0.3">
      <c r="A680" s="5"/>
      <c r="B680" s="5"/>
      <c r="C680" s="5"/>
      <c r="D680" s="5"/>
      <c r="E680" s="5"/>
      <c r="F680" s="5"/>
    </row>
    <row r="681" spans="1:6" ht="15.75" customHeight="1" x14ac:dyDescent="0.3">
      <c r="A681" s="5"/>
      <c r="B681" s="5"/>
      <c r="C681" s="5"/>
      <c r="D681" s="5"/>
      <c r="E681" s="5"/>
      <c r="F681" s="5"/>
    </row>
    <row r="682" spans="1:6" ht="15.75" customHeight="1" x14ac:dyDescent="0.3">
      <c r="A682" s="5"/>
      <c r="B682" s="5"/>
      <c r="C682" s="5"/>
      <c r="D682" s="5"/>
      <c r="E682" s="5"/>
      <c r="F682" s="5"/>
    </row>
    <row r="683" spans="1:6" ht="15.75" customHeight="1" x14ac:dyDescent="0.3">
      <c r="A683" s="5"/>
      <c r="B683" s="5"/>
      <c r="C683" s="5"/>
      <c r="D683" s="5"/>
      <c r="E683" s="5"/>
      <c r="F683" s="5"/>
    </row>
    <row r="684" spans="1:6" ht="15.75" customHeight="1" x14ac:dyDescent="0.3">
      <c r="A684" s="5"/>
      <c r="B684" s="5"/>
      <c r="C684" s="5"/>
      <c r="D684" s="5"/>
      <c r="E684" s="5"/>
      <c r="F684" s="5"/>
    </row>
    <row r="685" spans="1:6" ht="15.75" customHeight="1" x14ac:dyDescent="0.3">
      <c r="A685" s="5"/>
      <c r="B685" s="5"/>
      <c r="C685" s="5"/>
      <c r="D685" s="5"/>
      <c r="E685" s="5"/>
      <c r="F685" s="5"/>
    </row>
    <row r="686" spans="1:6" ht="15.75" customHeight="1" x14ac:dyDescent="0.3">
      <c r="A686" s="5"/>
      <c r="B686" s="5"/>
      <c r="C686" s="5"/>
      <c r="D686" s="5"/>
      <c r="E686" s="5"/>
      <c r="F686" s="5"/>
    </row>
    <row r="687" spans="1:6" ht="15.75" customHeight="1" x14ac:dyDescent="0.3">
      <c r="A687" s="5"/>
      <c r="B687" s="5"/>
      <c r="C687" s="5"/>
      <c r="D687" s="5"/>
      <c r="E687" s="5"/>
      <c r="F687" s="5"/>
    </row>
    <row r="688" spans="1:6" ht="15.75" customHeight="1" x14ac:dyDescent="0.3">
      <c r="A688" s="5"/>
      <c r="B688" s="5"/>
      <c r="C688" s="5"/>
      <c r="D688" s="5"/>
      <c r="E688" s="5"/>
      <c r="F688" s="5"/>
    </row>
    <row r="689" spans="1:6" ht="15.75" customHeight="1" x14ac:dyDescent="0.3">
      <c r="A689" s="5"/>
      <c r="B689" s="5"/>
      <c r="C689" s="5"/>
      <c r="D689" s="5"/>
      <c r="E689" s="5"/>
      <c r="F689" s="5"/>
    </row>
    <row r="690" spans="1:6" ht="15.75" customHeight="1" x14ac:dyDescent="0.3">
      <c r="A690" s="5"/>
      <c r="B690" s="5"/>
      <c r="C690" s="5"/>
      <c r="D690" s="5"/>
      <c r="E690" s="5"/>
      <c r="F690" s="5"/>
    </row>
    <row r="691" spans="1:6" ht="15.75" customHeight="1" x14ac:dyDescent="0.3">
      <c r="A691" s="5"/>
      <c r="B691" s="5"/>
      <c r="C691" s="5"/>
      <c r="D691" s="5"/>
      <c r="E691" s="5"/>
      <c r="F691" s="5"/>
    </row>
    <row r="692" spans="1:6" ht="15.75" customHeight="1" x14ac:dyDescent="0.3">
      <c r="A692" s="5"/>
      <c r="B692" s="5"/>
      <c r="C692" s="5"/>
      <c r="D692" s="5"/>
      <c r="E692" s="5"/>
      <c r="F692" s="5"/>
    </row>
    <row r="693" spans="1:6" ht="15.75" customHeight="1" x14ac:dyDescent="0.3">
      <c r="A693" s="5"/>
      <c r="B693" s="5"/>
      <c r="C693" s="5"/>
      <c r="D693" s="5"/>
      <c r="E693" s="5"/>
      <c r="F693" s="5"/>
    </row>
    <row r="694" spans="1:6" ht="15.75" customHeight="1" x14ac:dyDescent="0.3">
      <c r="A694" s="5"/>
      <c r="B694" s="5"/>
      <c r="C694" s="5"/>
      <c r="D694" s="5"/>
      <c r="E694" s="5"/>
      <c r="F694" s="5"/>
    </row>
    <row r="695" spans="1:6" ht="15.75" customHeight="1" x14ac:dyDescent="0.3">
      <c r="A695" s="5"/>
      <c r="B695" s="5"/>
      <c r="C695" s="5"/>
      <c r="D695" s="5"/>
      <c r="E695" s="5"/>
      <c r="F695" s="5"/>
    </row>
    <row r="696" spans="1:6" ht="15.75" customHeight="1" x14ac:dyDescent="0.3">
      <c r="A696" s="5"/>
      <c r="B696" s="5"/>
      <c r="C696" s="5"/>
      <c r="D696" s="5"/>
      <c r="E696" s="5"/>
      <c r="F696" s="5"/>
    </row>
    <row r="697" spans="1:6" ht="15.75" customHeight="1" x14ac:dyDescent="0.3">
      <c r="A697" s="5"/>
      <c r="B697" s="5"/>
      <c r="C697" s="5"/>
      <c r="D697" s="5"/>
      <c r="E697" s="5"/>
      <c r="F697" s="5"/>
    </row>
    <row r="698" spans="1:6" ht="15.75" customHeight="1" x14ac:dyDescent="0.3">
      <c r="A698" s="5"/>
      <c r="B698" s="5"/>
      <c r="C698" s="5"/>
      <c r="D698" s="5"/>
      <c r="E698" s="5"/>
      <c r="F698" s="5"/>
    </row>
    <row r="699" spans="1:6" ht="15.75" customHeight="1" x14ac:dyDescent="0.3">
      <c r="A699" s="5"/>
      <c r="B699" s="5"/>
      <c r="C699" s="5"/>
      <c r="D699" s="5"/>
      <c r="E699" s="5"/>
      <c r="F699" s="5"/>
    </row>
    <row r="700" spans="1:6" ht="15.75" customHeight="1" x14ac:dyDescent="0.3">
      <c r="A700" s="5"/>
      <c r="B700" s="5"/>
      <c r="C700" s="5"/>
      <c r="D700" s="5"/>
      <c r="E700" s="5"/>
      <c r="F700" s="5"/>
    </row>
    <row r="701" spans="1:6" ht="15.75" customHeight="1" x14ac:dyDescent="0.3">
      <c r="A701" s="5"/>
      <c r="B701" s="5"/>
      <c r="C701" s="5"/>
      <c r="D701" s="5"/>
      <c r="E701" s="5"/>
      <c r="F701" s="5"/>
    </row>
    <row r="702" spans="1:6" ht="15.75" customHeight="1" x14ac:dyDescent="0.3">
      <c r="A702" s="5"/>
      <c r="B702" s="5"/>
      <c r="C702" s="5"/>
      <c r="D702" s="5"/>
      <c r="E702" s="5"/>
      <c r="F702" s="5"/>
    </row>
    <row r="703" spans="1:6" ht="15.75" customHeight="1" x14ac:dyDescent="0.3">
      <c r="A703" s="5"/>
      <c r="B703" s="5"/>
      <c r="C703" s="5"/>
      <c r="D703" s="5"/>
      <c r="E703" s="5"/>
      <c r="F703" s="5"/>
    </row>
    <row r="704" spans="1:6" ht="15.75" customHeight="1" x14ac:dyDescent="0.3">
      <c r="A704" s="5"/>
      <c r="B704" s="5"/>
      <c r="C704" s="5"/>
      <c r="D704" s="5"/>
      <c r="E704" s="5"/>
      <c r="F704" s="5"/>
    </row>
    <row r="705" spans="1:6" ht="15.75" customHeight="1" x14ac:dyDescent="0.3">
      <c r="A705" s="5"/>
      <c r="B705" s="5"/>
      <c r="C705" s="5"/>
      <c r="D705" s="5"/>
      <c r="E705" s="5"/>
      <c r="F705" s="5"/>
    </row>
    <row r="706" spans="1:6" ht="15.75" customHeight="1" x14ac:dyDescent="0.3">
      <c r="A706" s="5"/>
      <c r="B706" s="5"/>
      <c r="C706" s="5"/>
      <c r="D706" s="5"/>
      <c r="E706" s="5"/>
      <c r="F706" s="5"/>
    </row>
    <row r="707" spans="1:6" ht="15.75" customHeight="1" x14ac:dyDescent="0.3">
      <c r="A707" s="5"/>
      <c r="B707" s="5"/>
      <c r="C707" s="5"/>
      <c r="D707" s="5"/>
      <c r="E707" s="5"/>
      <c r="F707" s="5"/>
    </row>
    <row r="708" spans="1:6" ht="15.75" customHeight="1" x14ac:dyDescent="0.3">
      <c r="A708" s="5"/>
      <c r="B708" s="5"/>
      <c r="C708" s="5"/>
      <c r="D708" s="5"/>
      <c r="E708" s="5"/>
      <c r="F708" s="5"/>
    </row>
    <row r="709" spans="1:6" ht="15.75" customHeight="1" x14ac:dyDescent="0.3">
      <c r="A709" s="5"/>
      <c r="B709" s="5"/>
      <c r="C709" s="5"/>
      <c r="D709" s="5"/>
      <c r="E709" s="5"/>
      <c r="F709" s="5"/>
    </row>
    <row r="710" spans="1:6" ht="15.75" customHeight="1" x14ac:dyDescent="0.3">
      <c r="A710" s="5"/>
      <c r="B710" s="5"/>
      <c r="C710" s="5"/>
      <c r="D710" s="5"/>
      <c r="E710" s="5"/>
      <c r="F710" s="5"/>
    </row>
    <row r="711" spans="1:6" ht="15.75" customHeight="1" x14ac:dyDescent="0.3">
      <c r="A711" s="5"/>
      <c r="B711" s="5"/>
      <c r="C711" s="5"/>
      <c r="D711" s="5"/>
      <c r="E711" s="5"/>
      <c r="F711" s="5"/>
    </row>
    <row r="712" spans="1:6" ht="15.75" customHeight="1" x14ac:dyDescent="0.3">
      <c r="A712" s="5"/>
      <c r="B712" s="5"/>
      <c r="C712" s="5"/>
      <c r="D712" s="5"/>
      <c r="E712" s="5"/>
      <c r="F712" s="5"/>
    </row>
    <row r="713" spans="1:6" ht="15.75" customHeight="1" x14ac:dyDescent="0.3">
      <c r="A713" s="5"/>
      <c r="B713" s="5"/>
      <c r="C713" s="5"/>
      <c r="D713" s="5"/>
      <c r="E713" s="5"/>
      <c r="F713" s="5"/>
    </row>
    <row r="714" spans="1:6" ht="15.75" customHeight="1" x14ac:dyDescent="0.3">
      <c r="A714" s="5"/>
      <c r="B714" s="5"/>
      <c r="C714" s="5"/>
      <c r="D714" s="5"/>
      <c r="E714" s="5"/>
      <c r="F714" s="5"/>
    </row>
    <row r="715" spans="1:6" ht="15.75" customHeight="1" x14ac:dyDescent="0.3">
      <c r="A715" s="5"/>
      <c r="B715" s="5"/>
      <c r="C715" s="5"/>
      <c r="D715" s="5"/>
      <c r="E715" s="5"/>
      <c r="F715" s="5"/>
    </row>
    <row r="716" spans="1:6" ht="15.75" customHeight="1" x14ac:dyDescent="0.3">
      <c r="A716" s="5"/>
      <c r="B716" s="5"/>
      <c r="C716" s="5"/>
      <c r="D716" s="5"/>
      <c r="E716" s="5"/>
      <c r="F716" s="5"/>
    </row>
    <row r="717" spans="1:6" ht="15.75" customHeight="1" x14ac:dyDescent="0.3">
      <c r="A717" s="5"/>
      <c r="B717" s="5"/>
      <c r="C717" s="5"/>
      <c r="D717" s="5"/>
      <c r="E717" s="5"/>
      <c r="F717" s="5"/>
    </row>
    <row r="718" spans="1:6" ht="15.75" customHeight="1" x14ac:dyDescent="0.3">
      <c r="A718" s="5"/>
      <c r="B718" s="5"/>
      <c r="C718" s="5"/>
      <c r="D718" s="5"/>
      <c r="E718" s="5"/>
      <c r="F718" s="5"/>
    </row>
    <row r="719" spans="1:6" ht="15.75" customHeight="1" x14ac:dyDescent="0.3">
      <c r="A719" s="5"/>
      <c r="B719" s="5"/>
      <c r="C719" s="5"/>
      <c r="D719" s="5"/>
      <c r="E719" s="5"/>
      <c r="F719" s="5"/>
    </row>
    <row r="720" spans="1:6" ht="15.75" customHeight="1" x14ac:dyDescent="0.3">
      <c r="A720" s="5"/>
      <c r="B720" s="5"/>
      <c r="C720" s="5"/>
      <c r="D720" s="5"/>
      <c r="E720" s="5"/>
      <c r="F720" s="5"/>
    </row>
    <row r="721" spans="1:6" ht="15.75" customHeight="1" x14ac:dyDescent="0.3">
      <c r="A721" s="5"/>
      <c r="B721" s="5"/>
      <c r="C721" s="5"/>
      <c r="D721" s="5"/>
      <c r="E721" s="5"/>
      <c r="F721" s="5"/>
    </row>
    <row r="722" spans="1:6" ht="15.75" customHeight="1" x14ac:dyDescent="0.3">
      <c r="A722" s="5"/>
      <c r="B722" s="5"/>
      <c r="C722" s="5"/>
      <c r="D722" s="5"/>
      <c r="E722" s="5"/>
      <c r="F722" s="5"/>
    </row>
    <row r="723" spans="1:6" ht="15.75" customHeight="1" x14ac:dyDescent="0.3">
      <c r="A723" s="5"/>
      <c r="B723" s="5"/>
      <c r="C723" s="5"/>
      <c r="D723" s="5"/>
      <c r="E723" s="5"/>
      <c r="F723" s="5"/>
    </row>
    <row r="724" spans="1:6" ht="15.75" customHeight="1" x14ac:dyDescent="0.3">
      <c r="A724" s="5"/>
      <c r="B724" s="5"/>
      <c r="C724" s="5"/>
      <c r="D724" s="5"/>
      <c r="E724" s="5"/>
      <c r="F724" s="5"/>
    </row>
    <row r="725" spans="1:6" ht="15.75" customHeight="1" x14ac:dyDescent="0.3">
      <c r="A725" s="5"/>
      <c r="B725" s="5"/>
      <c r="C725" s="5"/>
      <c r="D725" s="5"/>
      <c r="E725" s="5"/>
      <c r="F725" s="5"/>
    </row>
    <row r="726" spans="1:6" ht="15.75" customHeight="1" x14ac:dyDescent="0.3">
      <c r="A726" s="5"/>
      <c r="B726" s="5"/>
      <c r="C726" s="5"/>
      <c r="D726" s="5"/>
      <c r="E726" s="5"/>
      <c r="F726" s="5"/>
    </row>
    <row r="727" spans="1:6" ht="15.75" customHeight="1" x14ac:dyDescent="0.3">
      <c r="A727" s="5"/>
      <c r="B727" s="5"/>
      <c r="C727" s="5"/>
      <c r="D727" s="5"/>
      <c r="E727" s="5"/>
      <c r="F727" s="5"/>
    </row>
    <row r="728" spans="1:6" ht="15.75" customHeight="1" x14ac:dyDescent="0.3">
      <c r="A728" s="5"/>
      <c r="B728" s="5"/>
      <c r="C728" s="5"/>
      <c r="D728" s="5"/>
      <c r="E728" s="5"/>
      <c r="F728" s="5"/>
    </row>
    <row r="729" spans="1:6" ht="15.75" customHeight="1" x14ac:dyDescent="0.3">
      <c r="A729" s="5"/>
      <c r="B729" s="5"/>
      <c r="C729" s="5"/>
      <c r="D729" s="5"/>
      <c r="E729" s="5"/>
      <c r="F729" s="5"/>
    </row>
    <row r="730" spans="1:6" ht="15.75" customHeight="1" x14ac:dyDescent="0.3">
      <c r="A730" s="5"/>
      <c r="B730" s="5"/>
      <c r="C730" s="5"/>
      <c r="D730" s="5"/>
      <c r="E730" s="5"/>
      <c r="F730" s="5"/>
    </row>
    <row r="731" spans="1:6" ht="15.75" customHeight="1" x14ac:dyDescent="0.3">
      <c r="A731" s="5"/>
      <c r="B731" s="5"/>
      <c r="C731" s="5"/>
      <c r="D731" s="5"/>
      <c r="E731" s="5"/>
      <c r="F731" s="5"/>
    </row>
    <row r="732" spans="1:6" ht="15.75" customHeight="1" x14ac:dyDescent="0.3">
      <c r="A732" s="5"/>
      <c r="B732" s="5"/>
      <c r="C732" s="5"/>
      <c r="D732" s="5"/>
      <c r="E732" s="5"/>
      <c r="F732" s="5"/>
    </row>
    <row r="733" spans="1:6" ht="15.75" customHeight="1" x14ac:dyDescent="0.3">
      <c r="A733" s="5"/>
      <c r="B733" s="5"/>
      <c r="C733" s="5"/>
      <c r="D733" s="5"/>
      <c r="E733" s="5"/>
      <c r="F733" s="5"/>
    </row>
    <row r="734" spans="1:6" ht="15.75" customHeight="1" x14ac:dyDescent="0.3">
      <c r="A734" s="5"/>
      <c r="B734" s="5"/>
      <c r="C734" s="5"/>
      <c r="D734" s="5"/>
      <c r="E734" s="5"/>
      <c r="F734" s="5"/>
    </row>
    <row r="735" spans="1:6" ht="15.75" customHeight="1" x14ac:dyDescent="0.3">
      <c r="A735" s="5"/>
      <c r="B735" s="5"/>
      <c r="C735" s="5"/>
      <c r="D735" s="5"/>
      <c r="E735" s="5"/>
      <c r="F735" s="5"/>
    </row>
    <row r="736" spans="1:6" ht="15.75" customHeight="1" x14ac:dyDescent="0.3">
      <c r="A736" s="5"/>
      <c r="B736" s="5"/>
      <c r="C736" s="5"/>
      <c r="D736" s="5"/>
      <c r="E736" s="5"/>
      <c r="F736" s="5"/>
    </row>
    <row r="737" spans="1:6" ht="15.75" customHeight="1" x14ac:dyDescent="0.3">
      <c r="A737" s="5"/>
      <c r="B737" s="5"/>
      <c r="C737" s="5"/>
      <c r="D737" s="5"/>
      <c r="E737" s="5"/>
      <c r="F737" s="5"/>
    </row>
    <row r="738" spans="1:6" ht="15.75" customHeight="1" x14ac:dyDescent="0.3">
      <c r="A738" s="5"/>
      <c r="B738" s="5"/>
      <c r="C738" s="5"/>
      <c r="D738" s="5"/>
      <c r="E738" s="5"/>
      <c r="F738" s="5"/>
    </row>
    <row r="739" spans="1:6" ht="15.75" customHeight="1" x14ac:dyDescent="0.3">
      <c r="A739" s="5"/>
      <c r="B739" s="5"/>
      <c r="C739" s="5"/>
      <c r="D739" s="5"/>
      <c r="E739" s="5"/>
      <c r="F739" s="5"/>
    </row>
    <row r="740" spans="1:6" ht="15.75" customHeight="1" x14ac:dyDescent="0.3">
      <c r="A740" s="5"/>
      <c r="B740" s="5"/>
      <c r="C740" s="5"/>
      <c r="D740" s="5"/>
      <c r="E740" s="5"/>
      <c r="F740" s="5"/>
    </row>
    <row r="741" spans="1:6" ht="15.75" customHeight="1" x14ac:dyDescent="0.3">
      <c r="A741" s="5"/>
      <c r="B741" s="5"/>
      <c r="C741" s="5"/>
      <c r="D741" s="5"/>
      <c r="E741" s="5"/>
      <c r="F741" s="5"/>
    </row>
    <row r="742" spans="1:6" ht="15.75" customHeight="1" x14ac:dyDescent="0.3">
      <c r="A742" s="5"/>
      <c r="B742" s="5"/>
      <c r="C742" s="5"/>
      <c r="D742" s="5"/>
      <c r="E742" s="5"/>
      <c r="F742" s="5"/>
    </row>
    <row r="743" spans="1:6" ht="15.75" customHeight="1" x14ac:dyDescent="0.3">
      <c r="A743" s="5"/>
      <c r="B743" s="5"/>
      <c r="C743" s="5"/>
      <c r="D743" s="5"/>
      <c r="E743" s="5"/>
      <c r="F743" s="5"/>
    </row>
    <row r="744" spans="1:6" ht="15.75" customHeight="1" x14ac:dyDescent="0.3">
      <c r="A744" s="5"/>
      <c r="B744" s="5"/>
      <c r="C744" s="5"/>
      <c r="D744" s="5"/>
      <c r="E744" s="5"/>
      <c r="F744" s="5"/>
    </row>
    <row r="745" spans="1:6" ht="15.75" customHeight="1" x14ac:dyDescent="0.3">
      <c r="A745" s="5"/>
      <c r="B745" s="5"/>
      <c r="C745" s="5"/>
      <c r="D745" s="5"/>
      <c r="E745" s="5"/>
      <c r="F745" s="5"/>
    </row>
    <row r="746" spans="1:6" ht="15.75" customHeight="1" x14ac:dyDescent="0.3">
      <c r="A746" s="5"/>
      <c r="B746" s="5"/>
      <c r="C746" s="5"/>
      <c r="D746" s="5"/>
      <c r="E746" s="5"/>
      <c r="F746" s="5"/>
    </row>
    <row r="747" spans="1:6" ht="15.75" customHeight="1" x14ac:dyDescent="0.3">
      <c r="A747" s="5"/>
      <c r="B747" s="5"/>
      <c r="C747" s="5"/>
      <c r="D747" s="5"/>
      <c r="E747" s="5"/>
      <c r="F747" s="5"/>
    </row>
    <row r="748" spans="1:6" ht="15.75" customHeight="1" x14ac:dyDescent="0.3">
      <c r="A748" s="5"/>
      <c r="B748" s="5"/>
      <c r="C748" s="5"/>
      <c r="D748" s="5"/>
      <c r="E748" s="5"/>
      <c r="F748" s="5"/>
    </row>
    <row r="749" spans="1:6" ht="15.75" customHeight="1" x14ac:dyDescent="0.3">
      <c r="A749" s="5"/>
      <c r="B749" s="5"/>
      <c r="C749" s="5"/>
      <c r="D749" s="5"/>
      <c r="E749" s="5"/>
      <c r="F749" s="5"/>
    </row>
    <row r="750" spans="1:6" ht="15.75" customHeight="1" x14ac:dyDescent="0.3">
      <c r="A750" s="5"/>
      <c r="B750" s="5"/>
      <c r="C750" s="5"/>
      <c r="D750" s="5"/>
      <c r="E750" s="5"/>
      <c r="F750" s="5"/>
    </row>
    <row r="751" spans="1:6" ht="15.75" customHeight="1" x14ac:dyDescent="0.3">
      <c r="A751" s="5"/>
      <c r="B751" s="5"/>
      <c r="C751" s="5"/>
      <c r="D751" s="5"/>
      <c r="E751" s="5"/>
      <c r="F751" s="5"/>
    </row>
    <row r="752" spans="1:6" ht="15.75" customHeight="1" x14ac:dyDescent="0.3">
      <c r="A752" s="5"/>
      <c r="B752" s="5"/>
      <c r="C752" s="5"/>
      <c r="D752" s="5"/>
      <c r="E752" s="5"/>
      <c r="F752" s="5"/>
    </row>
    <row r="753" spans="1:6" ht="15.75" customHeight="1" x14ac:dyDescent="0.3">
      <c r="A753" s="5"/>
      <c r="B753" s="5"/>
      <c r="C753" s="5"/>
      <c r="D753" s="5"/>
      <c r="E753" s="5"/>
      <c r="F753" s="5"/>
    </row>
    <row r="754" spans="1:6" ht="15.75" customHeight="1" x14ac:dyDescent="0.3">
      <c r="A754" s="5"/>
      <c r="B754" s="5"/>
      <c r="C754" s="5"/>
      <c r="D754" s="5"/>
      <c r="E754" s="5"/>
      <c r="F754" s="5"/>
    </row>
    <row r="755" spans="1:6" ht="15.75" customHeight="1" x14ac:dyDescent="0.3">
      <c r="A755" s="5"/>
      <c r="B755" s="5"/>
      <c r="C755" s="5"/>
      <c r="D755" s="5"/>
      <c r="E755" s="5"/>
      <c r="F755" s="5"/>
    </row>
    <row r="756" spans="1:6" ht="15.75" customHeight="1" x14ac:dyDescent="0.3">
      <c r="A756" s="5"/>
      <c r="B756" s="5"/>
      <c r="C756" s="5"/>
      <c r="D756" s="5"/>
      <c r="E756" s="5"/>
      <c r="F756" s="5"/>
    </row>
    <row r="757" spans="1:6" ht="15.75" customHeight="1" x14ac:dyDescent="0.3">
      <c r="A757" s="5"/>
      <c r="B757" s="5"/>
      <c r="C757" s="5"/>
      <c r="D757" s="5"/>
      <c r="E757" s="5"/>
      <c r="F757" s="5"/>
    </row>
    <row r="758" spans="1:6" ht="15.75" customHeight="1" x14ac:dyDescent="0.3">
      <c r="A758" s="5"/>
      <c r="B758" s="5"/>
      <c r="C758" s="5"/>
      <c r="D758" s="5"/>
      <c r="E758" s="5"/>
      <c r="F758" s="5"/>
    </row>
    <row r="759" spans="1:6" ht="15.75" customHeight="1" x14ac:dyDescent="0.3">
      <c r="A759" s="5"/>
      <c r="B759" s="5"/>
      <c r="C759" s="5"/>
      <c r="D759" s="5"/>
      <c r="E759" s="5"/>
      <c r="F759" s="5"/>
    </row>
    <row r="760" spans="1:6" ht="15.75" customHeight="1" x14ac:dyDescent="0.3">
      <c r="A760" s="5"/>
      <c r="B760" s="5"/>
      <c r="C760" s="5"/>
      <c r="D760" s="5"/>
      <c r="E760" s="5"/>
      <c r="F760" s="5"/>
    </row>
    <row r="761" spans="1:6" ht="15.75" customHeight="1" x14ac:dyDescent="0.3">
      <c r="A761" s="5"/>
      <c r="B761" s="5"/>
      <c r="C761" s="5"/>
      <c r="D761" s="5"/>
      <c r="E761" s="5"/>
      <c r="F761" s="5"/>
    </row>
    <row r="762" spans="1:6" ht="15.75" customHeight="1" x14ac:dyDescent="0.3">
      <c r="A762" s="5"/>
      <c r="B762" s="5"/>
      <c r="C762" s="5"/>
      <c r="D762" s="5"/>
      <c r="E762" s="5"/>
      <c r="F762" s="5"/>
    </row>
    <row r="763" spans="1:6" ht="15.75" customHeight="1" x14ac:dyDescent="0.3">
      <c r="A763" s="5"/>
      <c r="B763" s="5"/>
      <c r="C763" s="5"/>
      <c r="D763" s="5"/>
      <c r="E763" s="5"/>
      <c r="F763" s="5"/>
    </row>
    <row r="764" spans="1:6" ht="15.75" customHeight="1" x14ac:dyDescent="0.3">
      <c r="A764" s="5"/>
      <c r="B764" s="5"/>
      <c r="C764" s="5"/>
      <c r="D764" s="5"/>
      <c r="E764" s="5"/>
      <c r="F764" s="5"/>
    </row>
    <row r="765" spans="1:6" ht="15.75" customHeight="1" x14ac:dyDescent="0.3">
      <c r="A765" s="5"/>
      <c r="B765" s="5"/>
      <c r="C765" s="5"/>
      <c r="D765" s="5"/>
      <c r="E765" s="5"/>
      <c r="F765" s="5"/>
    </row>
    <row r="766" spans="1:6" ht="15.75" customHeight="1" x14ac:dyDescent="0.3">
      <c r="A766" s="5"/>
      <c r="B766" s="5"/>
      <c r="C766" s="5"/>
      <c r="D766" s="5"/>
      <c r="E766" s="5"/>
      <c r="F766" s="5"/>
    </row>
    <row r="767" spans="1:6" ht="15.75" customHeight="1" x14ac:dyDescent="0.3">
      <c r="A767" s="5"/>
      <c r="B767" s="5"/>
      <c r="C767" s="5"/>
      <c r="D767" s="5"/>
      <c r="E767" s="5"/>
      <c r="F767" s="5"/>
    </row>
    <row r="768" spans="1:6" ht="15.75" customHeight="1" x14ac:dyDescent="0.3">
      <c r="A768" s="5"/>
      <c r="B768" s="5"/>
      <c r="C768" s="5"/>
      <c r="D768" s="5"/>
      <c r="E768" s="5"/>
      <c r="F768" s="5"/>
    </row>
    <row r="769" spans="1:6" ht="15.75" customHeight="1" x14ac:dyDescent="0.3">
      <c r="A769" s="5"/>
      <c r="B769" s="5"/>
      <c r="C769" s="5"/>
      <c r="D769" s="5"/>
      <c r="E769" s="5"/>
      <c r="F769" s="5"/>
    </row>
    <row r="770" spans="1:6" ht="15.75" customHeight="1" x14ac:dyDescent="0.3">
      <c r="A770" s="5"/>
      <c r="B770" s="5"/>
      <c r="C770" s="5"/>
      <c r="D770" s="5"/>
      <c r="E770" s="5"/>
      <c r="F770" s="5"/>
    </row>
    <row r="771" spans="1:6" ht="15.75" customHeight="1" x14ac:dyDescent="0.3">
      <c r="A771" s="5"/>
      <c r="B771" s="5"/>
      <c r="C771" s="5"/>
      <c r="D771" s="5"/>
      <c r="E771" s="5"/>
      <c r="F771" s="5"/>
    </row>
    <row r="772" spans="1:6" ht="15.75" customHeight="1" x14ac:dyDescent="0.3">
      <c r="A772" s="5"/>
      <c r="B772" s="5"/>
      <c r="C772" s="5"/>
      <c r="D772" s="5"/>
      <c r="E772" s="5"/>
      <c r="F772" s="5"/>
    </row>
    <row r="773" spans="1:6" ht="15.75" customHeight="1" x14ac:dyDescent="0.3">
      <c r="A773" s="5"/>
      <c r="B773" s="5"/>
      <c r="C773" s="5"/>
      <c r="D773" s="5"/>
      <c r="E773" s="5"/>
      <c r="F773" s="5"/>
    </row>
    <row r="774" spans="1:6" ht="15.75" customHeight="1" x14ac:dyDescent="0.3">
      <c r="A774" s="5"/>
      <c r="B774" s="5"/>
      <c r="C774" s="5"/>
      <c r="D774" s="5"/>
      <c r="E774" s="5"/>
      <c r="F774" s="5"/>
    </row>
    <row r="775" spans="1:6" ht="15.75" customHeight="1" x14ac:dyDescent="0.3">
      <c r="A775" s="5"/>
      <c r="B775" s="5"/>
      <c r="C775" s="5"/>
      <c r="D775" s="5"/>
      <c r="E775" s="5"/>
      <c r="F775" s="5"/>
    </row>
    <row r="776" spans="1:6" ht="15.75" customHeight="1" x14ac:dyDescent="0.3">
      <c r="A776" s="5"/>
      <c r="B776" s="5"/>
      <c r="C776" s="5"/>
      <c r="D776" s="5"/>
      <c r="E776" s="5"/>
      <c r="F776" s="5"/>
    </row>
    <row r="777" spans="1:6" ht="15.75" customHeight="1" x14ac:dyDescent="0.3">
      <c r="A777" s="5"/>
      <c r="B777" s="5"/>
      <c r="C777" s="5"/>
      <c r="D777" s="5"/>
      <c r="E777" s="5"/>
      <c r="F777" s="5"/>
    </row>
    <row r="778" spans="1:6" ht="15.75" customHeight="1" x14ac:dyDescent="0.3">
      <c r="A778" s="5"/>
      <c r="B778" s="5"/>
      <c r="C778" s="5"/>
      <c r="D778" s="5"/>
      <c r="E778" s="5"/>
      <c r="F778" s="5"/>
    </row>
    <row r="779" spans="1:6" ht="15.75" customHeight="1" x14ac:dyDescent="0.3">
      <c r="A779" s="5"/>
      <c r="B779" s="5"/>
      <c r="C779" s="5"/>
      <c r="D779" s="5"/>
      <c r="E779" s="5"/>
      <c r="F779" s="5"/>
    </row>
    <row r="780" spans="1:6" ht="15.75" customHeight="1" x14ac:dyDescent="0.3">
      <c r="A780" s="5"/>
      <c r="B780" s="5"/>
      <c r="C780" s="5"/>
      <c r="D780" s="5"/>
      <c r="E780" s="5"/>
      <c r="F780" s="5"/>
    </row>
    <row r="781" spans="1:6" ht="15.75" customHeight="1" x14ac:dyDescent="0.3">
      <c r="A781" s="5"/>
      <c r="B781" s="5"/>
      <c r="C781" s="5"/>
      <c r="D781" s="5"/>
      <c r="E781" s="5"/>
      <c r="F781" s="5"/>
    </row>
    <row r="782" spans="1:6" ht="15.75" customHeight="1" x14ac:dyDescent="0.3">
      <c r="A782" s="5"/>
      <c r="B782" s="5"/>
      <c r="C782" s="5"/>
      <c r="D782" s="5"/>
      <c r="E782" s="5"/>
      <c r="F782" s="5"/>
    </row>
    <row r="783" spans="1:6" ht="15.75" customHeight="1" x14ac:dyDescent="0.3">
      <c r="A783" s="5"/>
      <c r="B783" s="5"/>
      <c r="C783" s="5"/>
      <c r="D783" s="5"/>
      <c r="E783" s="5"/>
      <c r="F783" s="5"/>
    </row>
    <row r="784" spans="1:6" ht="15.75" customHeight="1" x14ac:dyDescent="0.3">
      <c r="A784" s="5"/>
      <c r="B784" s="5"/>
      <c r="C784" s="5"/>
      <c r="D784" s="5"/>
      <c r="E784" s="5"/>
      <c r="F784" s="5"/>
    </row>
    <row r="785" spans="1:6" ht="15.75" customHeight="1" x14ac:dyDescent="0.3">
      <c r="A785" s="5"/>
      <c r="B785" s="5"/>
      <c r="C785" s="5"/>
      <c r="D785" s="5"/>
      <c r="E785" s="5"/>
      <c r="F785" s="5"/>
    </row>
    <row r="786" spans="1:6" ht="15.75" customHeight="1" x14ac:dyDescent="0.3">
      <c r="A786" s="5"/>
      <c r="B786" s="5"/>
      <c r="C786" s="5"/>
      <c r="D786" s="5"/>
      <c r="E786" s="5"/>
      <c r="F786" s="5"/>
    </row>
    <row r="787" spans="1:6" ht="15.75" customHeight="1" x14ac:dyDescent="0.3">
      <c r="A787" s="5"/>
      <c r="B787" s="5"/>
      <c r="C787" s="5"/>
      <c r="D787" s="5"/>
      <c r="E787" s="5"/>
      <c r="F787" s="5"/>
    </row>
    <row r="788" spans="1:6" ht="15.75" customHeight="1" x14ac:dyDescent="0.3">
      <c r="A788" s="5"/>
      <c r="B788" s="5"/>
      <c r="C788" s="5"/>
      <c r="D788" s="5"/>
      <c r="E788" s="5"/>
      <c r="F788" s="5"/>
    </row>
    <row r="789" spans="1:6" ht="15.75" customHeight="1" x14ac:dyDescent="0.3">
      <c r="A789" s="5"/>
      <c r="B789" s="5"/>
      <c r="C789" s="5"/>
      <c r="D789" s="5"/>
      <c r="E789" s="5"/>
      <c r="F789" s="5"/>
    </row>
    <row r="790" spans="1:6" ht="15.75" customHeight="1" x14ac:dyDescent="0.3">
      <c r="A790" s="5"/>
      <c r="B790" s="5"/>
      <c r="C790" s="5"/>
      <c r="D790" s="5"/>
      <c r="E790" s="5"/>
      <c r="F790" s="5"/>
    </row>
    <row r="791" spans="1:6" ht="15.75" customHeight="1" x14ac:dyDescent="0.3">
      <c r="A791" s="5"/>
      <c r="B791" s="5"/>
      <c r="C791" s="5"/>
      <c r="D791" s="5"/>
      <c r="E791" s="5"/>
      <c r="F791" s="5"/>
    </row>
    <row r="792" spans="1:6" ht="15.75" customHeight="1" x14ac:dyDescent="0.3">
      <c r="A792" s="5"/>
      <c r="B792" s="5"/>
      <c r="C792" s="5"/>
      <c r="D792" s="5"/>
      <c r="E792" s="5"/>
      <c r="F792" s="5"/>
    </row>
    <row r="793" spans="1:6" ht="15.75" customHeight="1" x14ac:dyDescent="0.3">
      <c r="A793" s="5"/>
      <c r="B793" s="5"/>
      <c r="C793" s="5"/>
      <c r="D793" s="5"/>
      <c r="E793" s="5"/>
      <c r="F793" s="5"/>
    </row>
    <row r="794" spans="1:6" ht="15.75" customHeight="1" x14ac:dyDescent="0.3">
      <c r="A794" s="5"/>
      <c r="B794" s="5"/>
      <c r="C794" s="5"/>
      <c r="D794" s="5"/>
      <c r="E794" s="5"/>
      <c r="F794" s="5"/>
    </row>
    <row r="795" spans="1:6" ht="15.75" customHeight="1" x14ac:dyDescent="0.3">
      <c r="A795" s="5"/>
      <c r="B795" s="5"/>
      <c r="C795" s="5"/>
      <c r="D795" s="5"/>
      <c r="E795" s="5"/>
      <c r="F795" s="5"/>
    </row>
    <row r="796" spans="1:6" ht="15.75" customHeight="1" x14ac:dyDescent="0.3">
      <c r="A796" s="5"/>
      <c r="B796" s="5"/>
      <c r="C796" s="5"/>
      <c r="D796" s="5"/>
      <c r="E796" s="5"/>
      <c r="F796" s="5"/>
    </row>
    <row r="797" spans="1:6" ht="15.75" customHeight="1" x14ac:dyDescent="0.3">
      <c r="A797" s="5"/>
      <c r="B797" s="5"/>
      <c r="C797" s="5"/>
      <c r="D797" s="5"/>
      <c r="E797" s="5"/>
      <c r="F797" s="5"/>
    </row>
    <row r="798" spans="1:6" ht="15.75" customHeight="1" x14ac:dyDescent="0.3">
      <c r="A798" s="5"/>
      <c r="B798" s="5"/>
      <c r="C798" s="5"/>
      <c r="D798" s="5"/>
      <c r="E798" s="5"/>
      <c r="F798" s="5"/>
    </row>
    <row r="799" spans="1:6" ht="15.75" customHeight="1" x14ac:dyDescent="0.3">
      <c r="A799" s="5"/>
      <c r="B799" s="5"/>
      <c r="C799" s="5"/>
      <c r="D799" s="5"/>
      <c r="E799" s="5"/>
      <c r="F799" s="5"/>
    </row>
    <row r="800" spans="1:6" ht="15.75" customHeight="1" x14ac:dyDescent="0.3">
      <c r="A800" s="5"/>
      <c r="B800" s="5"/>
      <c r="C800" s="5"/>
      <c r="D800" s="5"/>
      <c r="E800" s="5"/>
      <c r="F800" s="5"/>
    </row>
    <row r="801" spans="1:6" ht="15.75" customHeight="1" x14ac:dyDescent="0.3">
      <c r="A801" s="5"/>
      <c r="B801" s="5"/>
      <c r="C801" s="5"/>
      <c r="D801" s="5"/>
      <c r="E801" s="5"/>
      <c r="F801" s="5"/>
    </row>
    <row r="802" spans="1:6" ht="15.75" customHeight="1" x14ac:dyDescent="0.3">
      <c r="A802" s="5"/>
      <c r="B802" s="5"/>
      <c r="C802" s="5"/>
      <c r="D802" s="5"/>
      <c r="E802" s="5"/>
      <c r="F802" s="5"/>
    </row>
    <row r="803" spans="1:6" ht="15.75" customHeight="1" x14ac:dyDescent="0.3">
      <c r="A803" s="5"/>
      <c r="B803" s="5"/>
      <c r="C803" s="5"/>
      <c r="D803" s="5"/>
      <c r="E803" s="5"/>
      <c r="F803" s="5"/>
    </row>
    <row r="804" spans="1:6" ht="15.75" customHeight="1" x14ac:dyDescent="0.3">
      <c r="A804" s="5"/>
      <c r="B804" s="5"/>
      <c r="C804" s="5"/>
      <c r="D804" s="5"/>
      <c r="E804" s="5"/>
      <c r="F804" s="5"/>
    </row>
    <row r="805" spans="1:6" ht="15.75" customHeight="1" x14ac:dyDescent="0.3">
      <c r="A805" s="5"/>
      <c r="B805" s="5"/>
      <c r="C805" s="5"/>
      <c r="D805" s="5"/>
      <c r="E805" s="5"/>
      <c r="F805" s="5"/>
    </row>
    <row r="806" spans="1:6" ht="15.75" customHeight="1" x14ac:dyDescent="0.3">
      <c r="A806" s="5"/>
      <c r="B806" s="5"/>
      <c r="C806" s="5"/>
      <c r="D806" s="5"/>
      <c r="E806" s="5"/>
      <c r="F806" s="5"/>
    </row>
    <row r="807" spans="1:6" ht="15.75" customHeight="1" x14ac:dyDescent="0.3">
      <c r="A807" s="5"/>
      <c r="B807" s="5"/>
      <c r="C807" s="5"/>
      <c r="D807" s="5"/>
      <c r="E807" s="5"/>
      <c r="F807" s="5"/>
    </row>
    <row r="808" spans="1:6" ht="15.75" customHeight="1" x14ac:dyDescent="0.3">
      <c r="A808" s="5"/>
      <c r="B808" s="5"/>
      <c r="C808" s="5"/>
      <c r="D808" s="5"/>
      <c r="E808" s="5"/>
      <c r="F808" s="5"/>
    </row>
    <row r="809" spans="1:6" ht="15.75" customHeight="1" x14ac:dyDescent="0.3">
      <c r="A809" s="5"/>
      <c r="B809" s="5"/>
      <c r="C809" s="5"/>
      <c r="D809" s="5"/>
      <c r="E809" s="5"/>
      <c r="F809" s="5"/>
    </row>
    <row r="810" spans="1:6" ht="15.75" customHeight="1" x14ac:dyDescent="0.3">
      <c r="A810" s="5"/>
      <c r="B810" s="5"/>
      <c r="C810" s="5"/>
      <c r="D810" s="5"/>
      <c r="E810" s="5"/>
      <c r="F810" s="5"/>
    </row>
    <row r="811" spans="1:6" ht="15.75" customHeight="1" x14ac:dyDescent="0.3">
      <c r="A811" s="5"/>
      <c r="B811" s="5"/>
      <c r="C811" s="5"/>
      <c r="D811" s="5"/>
      <c r="E811" s="5"/>
      <c r="F811" s="5"/>
    </row>
    <row r="812" spans="1:6" ht="15.75" customHeight="1" x14ac:dyDescent="0.3">
      <c r="A812" s="5"/>
      <c r="B812" s="5"/>
      <c r="C812" s="5"/>
      <c r="D812" s="5"/>
      <c r="E812" s="5"/>
      <c r="F812" s="5"/>
    </row>
    <row r="813" spans="1:6" ht="15.75" customHeight="1" x14ac:dyDescent="0.3">
      <c r="A813" s="5"/>
      <c r="B813" s="5"/>
      <c r="C813" s="5"/>
      <c r="D813" s="5"/>
      <c r="E813" s="5"/>
      <c r="F813" s="5"/>
    </row>
    <row r="814" spans="1:6" ht="15.75" customHeight="1" x14ac:dyDescent="0.3">
      <c r="A814" s="5"/>
      <c r="B814" s="5"/>
      <c r="C814" s="5"/>
      <c r="D814" s="5"/>
      <c r="E814" s="5"/>
      <c r="F814" s="5"/>
    </row>
    <row r="815" spans="1:6" ht="15.75" customHeight="1" x14ac:dyDescent="0.3">
      <c r="A815" s="5"/>
      <c r="B815" s="5"/>
      <c r="C815" s="5"/>
      <c r="D815" s="5"/>
      <c r="E815" s="5"/>
      <c r="F815" s="5"/>
    </row>
    <row r="816" spans="1:6" ht="15.75" customHeight="1" x14ac:dyDescent="0.3">
      <c r="A816" s="5"/>
      <c r="B816" s="5"/>
      <c r="C816" s="5"/>
      <c r="D816" s="5"/>
      <c r="E816" s="5"/>
      <c r="F816" s="5"/>
    </row>
    <row r="817" spans="1:6" ht="15.75" customHeight="1" x14ac:dyDescent="0.3">
      <c r="A817" s="5"/>
      <c r="B817" s="5"/>
      <c r="C817" s="5"/>
      <c r="D817" s="5"/>
      <c r="E817" s="5"/>
      <c r="F817" s="5"/>
    </row>
    <row r="818" spans="1:6" ht="15.75" customHeight="1" x14ac:dyDescent="0.3">
      <c r="A818" s="5"/>
      <c r="B818" s="5"/>
      <c r="C818" s="5"/>
      <c r="D818" s="5"/>
      <c r="E818" s="5"/>
      <c r="F818" s="5"/>
    </row>
    <row r="819" spans="1:6" ht="15.75" customHeight="1" x14ac:dyDescent="0.3">
      <c r="A819" s="5"/>
      <c r="B819" s="5"/>
      <c r="C819" s="5"/>
      <c r="D819" s="5"/>
      <c r="E819" s="5"/>
      <c r="F819" s="5"/>
    </row>
    <row r="820" spans="1:6" ht="15.75" customHeight="1" x14ac:dyDescent="0.3">
      <c r="A820" s="5"/>
      <c r="B820" s="5"/>
      <c r="C820" s="5"/>
      <c r="D820" s="5"/>
      <c r="E820" s="5"/>
      <c r="F820" s="5"/>
    </row>
    <row r="821" spans="1:6" ht="15.75" customHeight="1" x14ac:dyDescent="0.3">
      <c r="A821" s="5"/>
      <c r="B821" s="5"/>
      <c r="C821" s="5"/>
      <c r="D821" s="5"/>
      <c r="E821" s="5"/>
      <c r="F821" s="5"/>
    </row>
    <row r="822" spans="1:6" ht="15.75" customHeight="1" x14ac:dyDescent="0.3">
      <c r="A822" s="5"/>
      <c r="B822" s="5"/>
      <c r="C822" s="5"/>
      <c r="D822" s="5"/>
      <c r="E822" s="5"/>
      <c r="F822" s="5"/>
    </row>
    <row r="823" spans="1:6" ht="15.75" customHeight="1" x14ac:dyDescent="0.3">
      <c r="A823" s="5"/>
      <c r="B823" s="5"/>
      <c r="C823" s="5"/>
      <c r="D823" s="5"/>
      <c r="E823" s="5"/>
      <c r="F823" s="5"/>
    </row>
    <row r="824" spans="1:6" ht="15.75" customHeight="1" x14ac:dyDescent="0.3">
      <c r="A824" s="5"/>
      <c r="B824" s="5"/>
      <c r="C824" s="5"/>
      <c r="D824" s="5"/>
      <c r="E824" s="5"/>
      <c r="F824" s="5"/>
    </row>
    <row r="825" spans="1:6" ht="15.75" customHeight="1" x14ac:dyDescent="0.3">
      <c r="A825" s="5"/>
      <c r="B825" s="5"/>
      <c r="C825" s="5"/>
      <c r="D825" s="5"/>
      <c r="E825" s="5"/>
      <c r="F825" s="5"/>
    </row>
    <row r="826" spans="1:6" ht="15.75" customHeight="1" x14ac:dyDescent="0.3">
      <c r="A826" s="5"/>
      <c r="B826" s="5"/>
      <c r="C826" s="5"/>
      <c r="D826" s="5"/>
      <c r="E826" s="5"/>
      <c r="F826" s="5"/>
    </row>
    <row r="827" spans="1:6" ht="15.75" customHeight="1" x14ac:dyDescent="0.3">
      <c r="A827" s="5"/>
      <c r="B827" s="5"/>
      <c r="C827" s="5"/>
      <c r="D827" s="5"/>
      <c r="E827" s="5"/>
      <c r="F827" s="5"/>
    </row>
    <row r="828" spans="1:6" ht="15.75" customHeight="1" x14ac:dyDescent="0.3">
      <c r="A828" s="5"/>
      <c r="B828" s="5"/>
      <c r="C828" s="5"/>
      <c r="D828" s="5"/>
      <c r="E828" s="5"/>
      <c r="F828" s="5"/>
    </row>
    <row r="829" spans="1:6" ht="15.75" customHeight="1" x14ac:dyDescent="0.3">
      <c r="A829" s="5"/>
      <c r="B829" s="5"/>
      <c r="C829" s="5"/>
      <c r="D829" s="5"/>
      <c r="E829" s="5"/>
      <c r="F829" s="5"/>
    </row>
    <row r="830" spans="1:6" ht="15.75" customHeight="1" x14ac:dyDescent="0.3">
      <c r="A830" s="5"/>
      <c r="B830" s="5"/>
      <c r="C830" s="5"/>
      <c r="D830" s="5"/>
      <c r="E830" s="5"/>
      <c r="F830" s="5"/>
    </row>
    <row r="831" spans="1:6" ht="15.75" customHeight="1" x14ac:dyDescent="0.3">
      <c r="A831" s="5"/>
      <c r="B831" s="5"/>
      <c r="C831" s="5"/>
      <c r="D831" s="5"/>
      <c r="E831" s="5"/>
      <c r="F831" s="5"/>
    </row>
    <row r="832" spans="1:6" ht="15.75" customHeight="1" x14ac:dyDescent="0.3">
      <c r="A832" s="5"/>
      <c r="B832" s="5"/>
      <c r="C832" s="5"/>
      <c r="D832" s="5"/>
      <c r="E832" s="5"/>
      <c r="F832" s="5"/>
    </row>
    <row r="833" spans="1:6" ht="15.75" customHeight="1" x14ac:dyDescent="0.3">
      <c r="A833" s="5"/>
      <c r="B833" s="5"/>
      <c r="C833" s="5"/>
      <c r="D833" s="5"/>
      <c r="E833" s="5"/>
      <c r="F833" s="5"/>
    </row>
    <row r="834" spans="1:6" ht="15.75" customHeight="1" x14ac:dyDescent="0.3">
      <c r="A834" s="5"/>
      <c r="B834" s="5"/>
      <c r="C834" s="5"/>
      <c r="D834" s="5"/>
      <c r="E834" s="5"/>
      <c r="F834" s="5"/>
    </row>
    <row r="835" spans="1:6" ht="15.75" customHeight="1" x14ac:dyDescent="0.3">
      <c r="A835" s="5"/>
      <c r="B835" s="5"/>
      <c r="C835" s="5"/>
      <c r="D835" s="5"/>
      <c r="E835" s="5"/>
      <c r="F835" s="5"/>
    </row>
    <row r="836" spans="1:6" ht="15.75" customHeight="1" x14ac:dyDescent="0.3">
      <c r="A836" s="5"/>
      <c r="B836" s="5"/>
      <c r="C836" s="5"/>
      <c r="D836" s="5"/>
      <c r="E836" s="5"/>
      <c r="F836" s="5"/>
    </row>
    <row r="837" spans="1:6" ht="15.75" customHeight="1" x14ac:dyDescent="0.3">
      <c r="A837" s="5"/>
      <c r="B837" s="5"/>
      <c r="C837" s="5"/>
      <c r="D837" s="5"/>
      <c r="E837" s="5"/>
      <c r="F837" s="5"/>
    </row>
    <row r="838" spans="1:6" ht="15.75" customHeight="1" x14ac:dyDescent="0.3">
      <c r="A838" s="5"/>
      <c r="B838" s="5"/>
      <c r="C838" s="5"/>
      <c r="D838" s="5"/>
      <c r="E838" s="5"/>
      <c r="F838" s="5"/>
    </row>
    <row r="839" spans="1:6" ht="15.75" customHeight="1" x14ac:dyDescent="0.3">
      <c r="A839" s="5"/>
      <c r="B839" s="5"/>
      <c r="C839" s="5"/>
      <c r="D839" s="5"/>
      <c r="E839" s="5"/>
      <c r="F839" s="5"/>
    </row>
    <row r="840" spans="1:6" ht="15.75" customHeight="1" x14ac:dyDescent="0.3">
      <c r="A840" s="5"/>
      <c r="B840" s="5"/>
      <c r="C840" s="5"/>
      <c r="D840" s="5"/>
      <c r="E840" s="5"/>
      <c r="F840" s="5"/>
    </row>
    <row r="841" spans="1:6" ht="15.75" customHeight="1" x14ac:dyDescent="0.3">
      <c r="A841" s="5"/>
      <c r="B841" s="5"/>
      <c r="C841" s="5"/>
      <c r="D841" s="5"/>
      <c r="E841" s="5"/>
      <c r="F841" s="5"/>
    </row>
    <row r="842" spans="1:6" ht="15.75" customHeight="1" x14ac:dyDescent="0.3">
      <c r="A842" s="5"/>
      <c r="B842" s="5"/>
      <c r="C842" s="5"/>
      <c r="D842" s="5"/>
      <c r="E842" s="5"/>
      <c r="F842" s="5"/>
    </row>
    <row r="843" spans="1:6" ht="15.75" customHeight="1" x14ac:dyDescent="0.3">
      <c r="A843" s="5"/>
      <c r="B843" s="5"/>
      <c r="C843" s="5"/>
      <c r="D843" s="5"/>
      <c r="E843" s="5"/>
      <c r="F843" s="5"/>
    </row>
    <row r="844" spans="1:6" ht="15.75" customHeight="1" x14ac:dyDescent="0.3">
      <c r="A844" s="5"/>
      <c r="B844" s="5"/>
      <c r="C844" s="5"/>
      <c r="D844" s="5"/>
      <c r="E844" s="5"/>
      <c r="F844" s="5"/>
    </row>
    <row r="845" spans="1:6" ht="15.75" customHeight="1" x14ac:dyDescent="0.3">
      <c r="A845" s="5"/>
      <c r="B845" s="5"/>
      <c r="C845" s="5"/>
      <c r="D845" s="5"/>
      <c r="E845" s="5"/>
      <c r="F845" s="5"/>
    </row>
    <row r="846" spans="1:6" ht="15.75" customHeight="1" x14ac:dyDescent="0.3">
      <c r="A846" s="5"/>
      <c r="B846" s="5"/>
      <c r="C846" s="5"/>
      <c r="D846" s="5"/>
      <c r="E846" s="5"/>
      <c r="F846" s="5"/>
    </row>
    <row r="847" spans="1:6" ht="15.75" customHeight="1" x14ac:dyDescent="0.3">
      <c r="A847" s="5"/>
      <c r="B847" s="5"/>
      <c r="C847" s="5"/>
      <c r="D847" s="5"/>
      <c r="E847" s="5"/>
      <c r="F847" s="5"/>
    </row>
    <row r="848" spans="1:6" ht="15.75" customHeight="1" x14ac:dyDescent="0.3">
      <c r="A848" s="5"/>
      <c r="B848" s="5"/>
      <c r="C848" s="5"/>
      <c r="D848" s="5"/>
      <c r="E848" s="5"/>
      <c r="F848" s="5"/>
    </row>
    <row r="849" spans="1:6" ht="15.75" customHeight="1" x14ac:dyDescent="0.3">
      <c r="A849" s="5"/>
      <c r="B849" s="5"/>
      <c r="C849" s="5"/>
      <c r="D849" s="5"/>
      <c r="E849" s="5"/>
      <c r="F849" s="5"/>
    </row>
    <row r="850" spans="1:6" ht="15.75" customHeight="1" x14ac:dyDescent="0.3">
      <c r="A850" s="5"/>
      <c r="B850" s="5"/>
      <c r="C850" s="5"/>
      <c r="D850" s="5"/>
      <c r="E850" s="5"/>
      <c r="F850" s="5"/>
    </row>
    <row r="851" spans="1:6" ht="15.75" customHeight="1" x14ac:dyDescent="0.3">
      <c r="A851" s="5"/>
      <c r="B851" s="5"/>
      <c r="C851" s="5"/>
      <c r="D851" s="5"/>
      <c r="E851" s="5"/>
      <c r="F851" s="5"/>
    </row>
    <row r="852" spans="1:6" ht="15.75" customHeight="1" x14ac:dyDescent="0.3">
      <c r="A852" s="5"/>
      <c r="B852" s="5"/>
      <c r="C852" s="5"/>
      <c r="D852" s="5"/>
      <c r="E852" s="5"/>
      <c r="F852" s="5"/>
    </row>
    <row r="853" spans="1:6" ht="15.75" customHeight="1" x14ac:dyDescent="0.3">
      <c r="A853" s="5"/>
      <c r="B853" s="5"/>
      <c r="C853" s="5"/>
      <c r="D853" s="5"/>
      <c r="E853" s="5"/>
      <c r="F853" s="5"/>
    </row>
    <row r="854" spans="1:6" ht="15.75" customHeight="1" x14ac:dyDescent="0.3">
      <c r="A854" s="5"/>
      <c r="B854" s="5"/>
      <c r="C854" s="5"/>
      <c r="D854" s="5"/>
      <c r="E854" s="5"/>
      <c r="F854" s="5"/>
    </row>
    <row r="855" spans="1:6" ht="15.75" customHeight="1" x14ac:dyDescent="0.3">
      <c r="A855" s="5"/>
      <c r="B855" s="5"/>
      <c r="C855" s="5"/>
      <c r="D855" s="5"/>
      <c r="E855" s="5"/>
      <c r="F855" s="5"/>
    </row>
    <row r="856" spans="1:6" ht="15.75" customHeight="1" x14ac:dyDescent="0.3">
      <c r="A856" s="5"/>
      <c r="B856" s="5"/>
      <c r="C856" s="5"/>
      <c r="D856" s="5"/>
      <c r="E856" s="5"/>
      <c r="F856" s="5"/>
    </row>
    <row r="857" spans="1:6" ht="15.75" customHeight="1" x14ac:dyDescent="0.3">
      <c r="A857" s="5"/>
      <c r="B857" s="5"/>
      <c r="C857" s="5"/>
      <c r="D857" s="5"/>
      <c r="E857" s="5"/>
      <c r="F857" s="5"/>
    </row>
    <row r="858" spans="1:6" ht="15.75" customHeight="1" x14ac:dyDescent="0.3">
      <c r="A858" s="5"/>
      <c r="B858" s="5"/>
      <c r="C858" s="5"/>
      <c r="D858" s="5"/>
      <c r="E858" s="5"/>
      <c r="F858" s="5"/>
    </row>
    <row r="859" spans="1:6" ht="15.75" customHeight="1" x14ac:dyDescent="0.3">
      <c r="A859" s="5"/>
      <c r="B859" s="5"/>
      <c r="C859" s="5"/>
      <c r="D859" s="5"/>
      <c r="E859" s="5"/>
      <c r="F859" s="5"/>
    </row>
    <row r="860" spans="1:6" ht="15.75" customHeight="1" x14ac:dyDescent="0.3">
      <c r="A860" s="5"/>
      <c r="B860" s="5"/>
      <c r="C860" s="5"/>
      <c r="D860" s="5"/>
      <c r="E860" s="5"/>
      <c r="F860" s="5"/>
    </row>
    <row r="861" spans="1:6" ht="15.75" customHeight="1" x14ac:dyDescent="0.3">
      <c r="A861" s="5"/>
      <c r="B861" s="5"/>
      <c r="C861" s="5"/>
      <c r="D861" s="5"/>
      <c r="E861" s="5"/>
      <c r="F861" s="5"/>
    </row>
    <row r="862" spans="1:6" ht="15.75" customHeight="1" x14ac:dyDescent="0.3">
      <c r="A862" s="5"/>
      <c r="B862" s="5"/>
      <c r="C862" s="5"/>
      <c r="D862" s="5"/>
      <c r="E862" s="5"/>
      <c r="F862" s="5"/>
    </row>
    <row r="863" spans="1:6" ht="15.75" customHeight="1" x14ac:dyDescent="0.3">
      <c r="A863" s="5"/>
      <c r="B863" s="5"/>
      <c r="C863" s="5"/>
      <c r="D863" s="5"/>
      <c r="E863" s="5"/>
      <c r="F863" s="5"/>
    </row>
    <row r="864" spans="1:6" ht="15.75" customHeight="1" x14ac:dyDescent="0.3">
      <c r="A864" s="5"/>
      <c r="B864" s="5"/>
      <c r="C864" s="5"/>
      <c r="D864" s="5"/>
      <c r="E864" s="5"/>
      <c r="F864" s="5"/>
    </row>
    <row r="865" spans="1:6" ht="15.75" customHeight="1" x14ac:dyDescent="0.3">
      <c r="A865" s="5"/>
      <c r="B865" s="5"/>
      <c r="C865" s="5"/>
      <c r="D865" s="5"/>
      <c r="E865" s="5"/>
      <c r="F865" s="5"/>
    </row>
    <row r="866" spans="1:6" ht="15.75" customHeight="1" x14ac:dyDescent="0.3">
      <c r="A866" s="5"/>
      <c r="B866" s="5"/>
      <c r="C866" s="5"/>
      <c r="D866" s="5"/>
      <c r="E866" s="5"/>
      <c r="F866" s="5"/>
    </row>
    <row r="867" spans="1:6" ht="15.75" customHeight="1" x14ac:dyDescent="0.3">
      <c r="A867" s="5"/>
      <c r="B867" s="5"/>
      <c r="C867" s="5"/>
      <c r="D867" s="5"/>
      <c r="E867" s="5"/>
      <c r="F867" s="5"/>
    </row>
    <row r="868" spans="1:6" ht="15.75" customHeight="1" x14ac:dyDescent="0.3">
      <c r="A868" s="5"/>
      <c r="B868" s="5"/>
      <c r="C868" s="5"/>
      <c r="D868" s="5"/>
      <c r="E868" s="5"/>
      <c r="F868" s="5"/>
    </row>
    <row r="869" spans="1:6" ht="15.75" customHeight="1" x14ac:dyDescent="0.3">
      <c r="A869" s="5"/>
      <c r="B869" s="5"/>
      <c r="C869" s="5"/>
      <c r="D869" s="5"/>
      <c r="E869" s="5"/>
      <c r="F869" s="5"/>
    </row>
    <row r="870" spans="1:6" ht="15.75" customHeight="1" x14ac:dyDescent="0.3">
      <c r="A870" s="5"/>
      <c r="B870" s="5"/>
      <c r="C870" s="5"/>
      <c r="D870" s="5"/>
      <c r="E870" s="5"/>
      <c r="F870" s="5"/>
    </row>
    <row r="871" spans="1:6" ht="15.75" customHeight="1" x14ac:dyDescent="0.3">
      <c r="A871" s="5"/>
      <c r="B871" s="5"/>
      <c r="C871" s="5"/>
      <c r="D871" s="5"/>
      <c r="E871" s="5"/>
      <c r="F871" s="5"/>
    </row>
    <row r="872" spans="1:6" ht="15.75" customHeight="1" x14ac:dyDescent="0.3">
      <c r="A872" s="5"/>
      <c r="B872" s="5"/>
      <c r="C872" s="5"/>
      <c r="D872" s="5"/>
      <c r="E872" s="5"/>
      <c r="F872" s="5"/>
    </row>
    <row r="873" spans="1:6" ht="15.75" customHeight="1" x14ac:dyDescent="0.3">
      <c r="A873" s="5"/>
      <c r="B873" s="5"/>
      <c r="C873" s="5"/>
      <c r="D873" s="5"/>
      <c r="E873" s="5"/>
      <c r="F873" s="5"/>
    </row>
    <row r="874" spans="1:6" ht="15.75" customHeight="1" x14ac:dyDescent="0.3">
      <c r="A874" s="5"/>
      <c r="B874" s="5"/>
      <c r="C874" s="5"/>
      <c r="D874" s="5"/>
      <c r="E874" s="5"/>
      <c r="F874" s="5"/>
    </row>
    <row r="875" spans="1:6" ht="15.75" customHeight="1" x14ac:dyDescent="0.3">
      <c r="A875" s="5"/>
      <c r="B875" s="5"/>
      <c r="C875" s="5"/>
      <c r="D875" s="5"/>
      <c r="E875" s="5"/>
      <c r="F875" s="5"/>
    </row>
    <row r="876" spans="1:6" ht="15.75" customHeight="1" x14ac:dyDescent="0.3">
      <c r="A876" s="5"/>
      <c r="B876" s="5"/>
      <c r="C876" s="5"/>
      <c r="D876" s="5"/>
      <c r="E876" s="5"/>
      <c r="F876" s="5"/>
    </row>
    <row r="877" spans="1:6" ht="15.75" customHeight="1" x14ac:dyDescent="0.3">
      <c r="A877" s="5"/>
      <c r="B877" s="5"/>
      <c r="C877" s="5"/>
      <c r="D877" s="5"/>
      <c r="E877" s="5"/>
      <c r="F877" s="5"/>
    </row>
    <row r="878" spans="1:6" ht="15.75" customHeight="1" x14ac:dyDescent="0.3">
      <c r="A878" s="5"/>
      <c r="B878" s="5"/>
      <c r="C878" s="5"/>
      <c r="D878" s="5"/>
      <c r="E878" s="5"/>
      <c r="F878" s="5"/>
    </row>
    <row r="879" spans="1:6" ht="15.75" customHeight="1" x14ac:dyDescent="0.3">
      <c r="A879" s="5"/>
      <c r="B879" s="5"/>
      <c r="C879" s="5"/>
      <c r="D879" s="5"/>
      <c r="E879" s="5"/>
      <c r="F879" s="5"/>
    </row>
    <row r="880" spans="1:6" ht="15.75" customHeight="1" x14ac:dyDescent="0.3">
      <c r="A880" s="5"/>
      <c r="B880" s="5"/>
      <c r="C880" s="5"/>
      <c r="D880" s="5"/>
      <c r="E880" s="5"/>
      <c r="F880" s="5"/>
    </row>
    <row r="881" spans="1:6" ht="15.75" customHeight="1" x14ac:dyDescent="0.3">
      <c r="A881" s="5"/>
      <c r="B881" s="5"/>
      <c r="C881" s="5"/>
      <c r="D881" s="5"/>
      <c r="E881" s="5"/>
      <c r="F881" s="5"/>
    </row>
    <row r="882" spans="1:6" ht="15.75" customHeight="1" x14ac:dyDescent="0.3">
      <c r="A882" s="5"/>
      <c r="B882" s="5"/>
      <c r="C882" s="5"/>
      <c r="D882" s="5"/>
      <c r="E882" s="5"/>
      <c r="F882" s="5"/>
    </row>
    <row r="883" spans="1:6" ht="15.75" customHeight="1" x14ac:dyDescent="0.3">
      <c r="A883" s="5"/>
      <c r="B883" s="5"/>
      <c r="C883" s="5"/>
      <c r="D883" s="5"/>
      <c r="E883" s="5"/>
      <c r="F883" s="5"/>
    </row>
    <row r="884" spans="1:6" ht="15.75" customHeight="1" x14ac:dyDescent="0.3">
      <c r="A884" s="5"/>
      <c r="B884" s="5"/>
      <c r="C884" s="5"/>
      <c r="D884" s="5"/>
      <c r="E884" s="5"/>
      <c r="F884" s="5"/>
    </row>
    <row r="885" spans="1:6" ht="15.75" customHeight="1" x14ac:dyDescent="0.3">
      <c r="A885" s="5"/>
      <c r="B885" s="5"/>
      <c r="C885" s="5"/>
      <c r="D885" s="5"/>
      <c r="E885" s="5"/>
      <c r="F885" s="5"/>
    </row>
    <row r="886" spans="1:6" ht="15.75" customHeight="1" x14ac:dyDescent="0.3">
      <c r="A886" s="5"/>
      <c r="B886" s="5"/>
      <c r="C886" s="5"/>
      <c r="D886" s="5"/>
      <c r="E886" s="5"/>
      <c r="F886" s="5"/>
    </row>
    <row r="887" spans="1:6" ht="15.75" customHeight="1" x14ac:dyDescent="0.3">
      <c r="A887" s="5"/>
      <c r="B887" s="5"/>
      <c r="C887" s="5"/>
      <c r="D887" s="5"/>
      <c r="E887" s="5"/>
      <c r="F887" s="5"/>
    </row>
    <row r="888" spans="1:6" ht="15.75" customHeight="1" x14ac:dyDescent="0.3">
      <c r="A888" s="5"/>
      <c r="B888" s="5"/>
      <c r="C888" s="5"/>
      <c r="D888" s="5"/>
      <c r="E888" s="5"/>
      <c r="F888" s="5"/>
    </row>
    <row r="889" spans="1:6" ht="15.75" customHeight="1" x14ac:dyDescent="0.3">
      <c r="A889" s="5"/>
      <c r="B889" s="5"/>
      <c r="C889" s="5"/>
      <c r="D889" s="5"/>
      <c r="E889" s="5"/>
      <c r="F889" s="5"/>
    </row>
    <row r="890" spans="1:6" ht="15.75" customHeight="1" x14ac:dyDescent="0.3">
      <c r="A890" s="5"/>
      <c r="B890" s="5"/>
      <c r="C890" s="5"/>
      <c r="D890" s="5"/>
      <c r="E890" s="5"/>
      <c r="F890" s="5"/>
    </row>
    <row r="891" spans="1:6" ht="15.75" customHeight="1" x14ac:dyDescent="0.3">
      <c r="A891" s="5"/>
      <c r="B891" s="5"/>
      <c r="C891" s="5"/>
      <c r="D891" s="5"/>
      <c r="E891" s="5"/>
      <c r="F891" s="5"/>
    </row>
    <row r="892" spans="1:6" ht="15.75" customHeight="1" x14ac:dyDescent="0.3">
      <c r="A892" s="5"/>
      <c r="B892" s="5"/>
      <c r="C892" s="5"/>
      <c r="D892" s="5"/>
      <c r="E892" s="5"/>
      <c r="F892" s="5"/>
    </row>
    <row r="893" spans="1:6" ht="15.75" customHeight="1" x14ac:dyDescent="0.3">
      <c r="A893" s="5"/>
      <c r="B893" s="5"/>
      <c r="C893" s="5"/>
      <c r="D893" s="5"/>
      <c r="E893" s="5"/>
      <c r="F893" s="5"/>
    </row>
    <row r="894" spans="1:6" ht="15.75" customHeight="1" x14ac:dyDescent="0.3">
      <c r="A894" s="5"/>
      <c r="B894" s="5"/>
      <c r="C894" s="5"/>
      <c r="D894" s="5"/>
      <c r="E894" s="5"/>
      <c r="F894" s="5"/>
    </row>
    <row r="895" spans="1:6" ht="15.75" customHeight="1" x14ac:dyDescent="0.3">
      <c r="A895" s="5"/>
      <c r="B895" s="5"/>
      <c r="C895" s="5"/>
      <c r="D895" s="5"/>
      <c r="E895" s="5"/>
      <c r="F895" s="5"/>
    </row>
    <row r="896" spans="1:6" ht="15.75" customHeight="1" x14ac:dyDescent="0.3">
      <c r="A896" s="5"/>
      <c r="B896" s="5"/>
      <c r="C896" s="5"/>
      <c r="D896" s="5"/>
      <c r="E896" s="5"/>
      <c r="F896" s="5"/>
    </row>
    <row r="897" spans="1:6" ht="15.75" customHeight="1" x14ac:dyDescent="0.3">
      <c r="A897" s="5"/>
      <c r="B897" s="5"/>
      <c r="C897" s="5"/>
      <c r="D897" s="5"/>
      <c r="E897" s="5"/>
      <c r="F897" s="5"/>
    </row>
    <row r="898" spans="1:6" ht="15.75" customHeight="1" x14ac:dyDescent="0.3">
      <c r="A898" s="5"/>
      <c r="B898" s="5"/>
      <c r="C898" s="5"/>
      <c r="D898" s="5"/>
      <c r="E898" s="5"/>
      <c r="F898" s="5"/>
    </row>
    <row r="899" spans="1:6" ht="15.75" customHeight="1" x14ac:dyDescent="0.3">
      <c r="A899" s="5"/>
      <c r="B899" s="5"/>
      <c r="C899" s="5"/>
      <c r="D899" s="5"/>
      <c r="E899" s="5"/>
      <c r="F899" s="5"/>
    </row>
    <row r="900" spans="1:6" ht="15.75" customHeight="1" x14ac:dyDescent="0.3">
      <c r="A900" s="5"/>
      <c r="B900" s="5"/>
      <c r="C900" s="5"/>
      <c r="D900" s="5"/>
      <c r="E900" s="5"/>
      <c r="F900" s="5"/>
    </row>
    <row r="901" spans="1:6" ht="15.75" customHeight="1" x14ac:dyDescent="0.3">
      <c r="A901" s="5"/>
      <c r="B901" s="5"/>
      <c r="C901" s="5"/>
      <c r="D901" s="5"/>
      <c r="E901" s="5"/>
      <c r="F901" s="5"/>
    </row>
    <row r="902" spans="1:6" ht="15.75" customHeight="1" x14ac:dyDescent="0.3">
      <c r="A902" s="5"/>
      <c r="B902" s="5"/>
      <c r="C902" s="5"/>
      <c r="D902" s="5"/>
      <c r="E902" s="5"/>
      <c r="F902" s="5"/>
    </row>
    <row r="903" spans="1:6" ht="15.75" customHeight="1" x14ac:dyDescent="0.3">
      <c r="A903" s="5"/>
      <c r="B903" s="5"/>
      <c r="C903" s="5"/>
      <c r="D903" s="5"/>
      <c r="E903" s="5"/>
      <c r="F903" s="5"/>
    </row>
    <row r="904" spans="1:6" ht="15.75" customHeight="1" x14ac:dyDescent="0.3">
      <c r="A904" s="5"/>
      <c r="B904" s="5"/>
      <c r="C904" s="5"/>
      <c r="D904" s="5"/>
      <c r="E904" s="5"/>
      <c r="F904" s="5"/>
    </row>
    <row r="905" spans="1:6" ht="15.75" customHeight="1" x14ac:dyDescent="0.3">
      <c r="A905" s="5"/>
      <c r="B905" s="5"/>
      <c r="C905" s="5"/>
      <c r="D905" s="5"/>
      <c r="E905" s="5"/>
      <c r="F905" s="5"/>
    </row>
    <row r="906" spans="1:6" ht="15.75" customHeight="1" x14ac:dyDescent="0.3">
      <c r="A906" s="5"/>
      <c r="B906" s="5"/>
      <c r="C906" s="5"/>
      <c r="D906" s="5"/>
      <c r="E906" s="5"/>
      <c r="F906" s="5"/>
    </row>
    <row r="907" spans="1:6" ht="15.75" customHeight="1" x14ac:dyDescent="0.3">
      <c r="A907" s="5"/>
      <c r="B907" s="5"/>
      <c r="C907" s="5"/>
      <c r="D907" s="5"/>
      <c r="E907" s="5"/>
      <c r="F907" s="5"/>
    </row>
    <row r="908" spans="1:6" ht="15.75" customHeight="1" x14ac:dyDescent="0.3">
      <c r="A908" s="5"/>
      <c r="B908" s="5"/>
      <c r="C908" s="5"/>
      <c r="D908" s="5"/>
      <c r="E908" s="5"/>
      <c r="F908" s="5"/>
    </row>
    <row r="909" spans="1:6" ht="15.75" customHeight="1" x14ac:dyDescent="0.3">
      <c r="A909" s="5"/>
      <c r="B909" s="5"/>
      <c r="C909" s="5"/>
      <c r="D909" s="5"/>
      <c r="E909" s="5"/>
      <c r="F909" s="5"/>
    </row>
    <row r="910" spans="1:6" ht="15.75" customHeight="1" x14ac:dyDescent="0.3">
      <c r="A910" s="5"/>
      <c r="B910" s="5"/>
      <c r="C910" s="5"/>
      <c r="D910" s="5"/>
      <c r="E910" s="5"/>
      <c r="F910" s="5"/>
    </row>
    <row r="911" spans="1:6" ht="15.75" customHeight="1" x14ac:dyDescent="0.3">
      <c r="A911" s="5"/>
      <c r="B911" s="5"/>
      <c r="C911" s="5"/>
      <c r="D911" s="5"/>
      <c r="E911" s="5"/>
      <c r="F911" s="5"/>
    </row>
    <row r="912" spans="1:6" ht="15.75" customHeight="1" x14ac:dyDescent="0.3">
      <c r="A912" s="5"/>
      <c r="B912" s="5"/>
      <c r="C912" s="5"/>
      <c r="D912" s="5"/>
      <c r="E912" s="5"/>
      <c r="F912" s="5"/>
    </row>
    <row r="913" spans="1:6" ht="15.75" customHeight="1" x14ac:dyDescent="0.3">
      <c r="A913" s="5"/>
      <c r="B913" s="5"/>
      <c r="C913" s="5"/>
      <c r="D913" s="5"/>
      <c r="E913" s="5"/>
      <c r="F913" s="5"/>
    </row>
    <row r="914" spans="1:6" ht="15.75" customHeight="1" x14ac:dyDescent="0.3">
      <c r="A914" s="5"/>
      <c r="B914" s="5"/>
      <c r="C914" s="5"/>
      <c r="D914" s="5"/>
      <c r="E914" s="5"/>
      <c r="F914" s="5"/>
    </row>
    <row r="915" spans="1:6" ht="15.75" customHeight="1" x14ac:dyDescent="0.3">
      <c r="A915" s="5"/>
      <c r="B915" s="5"/>
      <c r="C915" s="5"/>
      <c r="D915" s="5"/>
      <c r="E915" s="5"/>
      <c r="F915" s="5"/>
    </row>
    <row r="916" spans="1:6" ht="15.75" customHeight="1" x14ac:dyDescent="0.3">
      <c r="A916" s="5"/>
      <c r="B916" s="5"/>
      <c r="C916" s="5"/>
      <c r="D916" s="5"/>
      <c r="E916" s="5"/>
      <c r="F916" s="5"/>
    </row>
    <row r="917" spans="1:6" ht="15.75" customHeight="1" x14ac:dyDescent="0.3">
      <c r="A917" s="5"/>
      <c r="B917" s="5"/>
      <c r="C917" s="5"/>
      <c r="D917" s="5"/>
      <c r="E917" s="5"/>
      <c r="F917" s="5"/>
    </row>
    <row r="918" spans="1:6" ht="15.75" customHeight="1" x14ac:dyDescent="0.3">
      <c r="A918" s="5"/>
      <c r="B918" s="5"/>
      <c r="C918" s="5"/>
      <c r="D918" s="5"/>
      <c r="E918" s="5"/>
      <c r="F918" s="5"/>
    </row>
    <row r="919" spans="1:6" ht="15.75" customHeight="1" x14ac:dyDescent="0.3">
      <c r="A919" s="5"/>
      <c r="B919" s="5"/>
      <c r="C919" s="5"/>
      <c r="D919" s="5"/>
      <c r="E919" s="5"/>
      <c r="F919" s="5"/>
    </row>
    <row r="920" spans="1:6" ht="15.75" customHeight="1" x14ac:dyDescent="0.3">
      <c r="A920" s="5"/>
      <c r="B920" s="5"/>
      <c r="C920" s="5"/>
      <c r="D920" s="5"/>
      <c r="E920" s="5"/>
      <c r="F920" s="5"/>
    </row>
    <row r="921" spans="1:6" ht="15.75" customHeight="1" x14ac:dyDescent="0.3">
      <c r="A921" s="5"/>
      <c r="B921" s="5"/>
      <c r="C921" s="5"/>
      <c r="D921" s="5"/>
      <c r="E921" s="5"/>
      <c r="F921" s="5"/>
    </row>
    <row r="922" spans="1:6" ht="15.75" customHeight="1" x14ac:dyDescent="0.3">
      <c r="A922" s="5"/>
      <c r="B922" s="5"/>
      <c r="C922" s="5"/>
      <c r="D922" s="5"/>
      <c r="E922" s="5"/>
      <c r="F922" s="5"/>
    </row>
    <row r="923" spans="1:6" ht="15.75" customHeight="1" x14ac:dyDescent="0.3">
      <c r="A923" s="5"/>
      <c r="B923" s="5"/>
      <c r="C923" s="5"/>
      <c r="D923" s="5"/>
      <c r="E923" s="5"/>
      <c r="F923" s="5"/>
    </row>
    <row r="924" spans="1:6" ht="15.75" customHeight="1" x14ac:dyDescent="0.3">
      <c r="A924" s="5"/>
      <c r="B924" s="5"/>
      <c r="C924" s="5"/>
      <c r="D924" s="5"/>
      <c r="E924" s="5"/>
      <c r="F924" s="5"/>
    </row>
    <row r="925" spans="1:6" ht="15.75" customHeight="1" x14ac:dyDescent="0.3">
      <c r="A925" s="5"/>
      <c r="B925" s="5"/>
      <c r="C925" s="5"/>
      <c r="D925" s="5"/>
      <c r="E925" s="5"/>
      <c r="F925" s="5"/>
    </row>
    <row r="926" spans="1:6" ht="15.75" customHeight="1" x14ac:dyDescent="0.3">
      <c r="A926" s="5"/>
      <c r="B926" s="5"/>
      <c r="C926" s="5"/>
      <c r="D926" s="5"/>
      <c r="E926" s="5"/>
      <c r="F926" s="5"/>
    </row>
    <row r="927" spans="1:6" ht="15.75" customHeight="1" x14ac:dyDescent="0.3">
      <c r="A927" s="5"/>
      <c r="B927" s="5"/>
      <c r="C927" s="5"/>
      <c r="D927" s="5"/>
      <c r="E927" s="5"/>
      <c r="F927" s="5"/>
    </row>
    <row r="928" spans="1:6" ht="15.75" customHeight="1" x14ac:dyDescent="0.3">
      <c r="A928" s="5"/>
      <c r="B928" s="5"/>
      <c r="C928" s="5"/>
      <c r="D928" s="5"/>
      <c r="E928" s="5"/>
      <c r="F928" s="5"/>
    </row>
    <row r="929" spans="1:6" ht="15.75" customHeight="1" x14ac:dyDescent="0.3">
      <c r="A929" s="5"/>
      <c r="B929" s="5"/>
      <c r="C929" s="5"/>
      <c r="D929" s="5"/>
      <c r="E929" s="5"/>
      <c r="F929" s="5"/>
    </row>
    <row r="930" spans="1:6" ht="15.75" customHeight="1" x14ac:dyDescent="0.3">
      <c r="A930" s="5"/>
      <c r="B930" s="5"/>
      <c r="C930" s="5"/>
      <c r="D930" s="5"/>
      <c r="E930" s="5"/>
      <c r="F930" s="5"/>
    </row>
    <row r="931" spans="1:6" ht="15.75" customHeight="1" x14ac:dyDescent="0.3">
      <c r="A931" s="5"/>
      <c r="B931" s="5"/>
      <c r="C931" s="5"/>
      <c r="D931" s="5"/>
      <c r="E931" s="5"/>
      <c r="F931" s="5"/>
    </row>
    <row r="932" spans="1:6" ht="15.75" customHeight="1" x14ac:dyDescent="0.3">
      <c r="A932" s="5"/>
      <c r="B932" s="5"/>
      <c r="C932" s="5"/>
      <c r="D932" s="5"/>
      <c r="E932" s="5"/>
      <c r="F932" s="5"/>
    </row>
    <row r="933" spans="1:6" ht="15.75" customHeight="1" x14ac:dyDescent="0.3">
      <c r="A933" s="5"/>
      <c r="B933" s="5"/>
      <c r="C933" s="5"/>
      <c r="D933" s="5"/>
      <c r="E933" s="5"/>
      <c r="F933" s="5"/>
    </row>
    <row r="934" spans="1:6" ht="15.75" customHeight="1" x14ac:dyDescent="0.3">
      <c r="A934" s="5"/>
      <c r="B934" s="5"/>
      <c r="C934" s="5"/>
      <c r="D934" s="5"/>
      <c r="E934" s="5"/>
      <c r="F934" s="5"/>
    </row>
    <row r="935" spans="1:6" ht="15.75" customHeight="1" x14ac:dyDescent="0.3">
      <c r="A935" s="5"/>
      <c r="B935" s="5"/>
      <c r="C935" s="5"/>
      <c r="D935" s="5"/>
      <c r="E935" s="5"/>
      <c r="F935" s="5"/>
    </row>
    <row r="936" spans="1:6" ht="15.75" customHeight="1" x14ac:dyDescent="0.3">
      <c r="A936" s="5"/>
      <c r="B936" s="5"/>
      <c r="C936" s="5"/>
      <c r="D936" s="5"/>
      <c r="E936" s="5"/>
      <c r="F936" s="5"/>
    </row>
    <row r="937" spans="1:6" ht="15.75" customHeight="1" x14ac:dyDescent="0.3">
      <c r="A937" s="5"/>
      <c r="B937" s="5"/>
      <c r="C937" s="5"/>
      <c r="D937" s="5"/>
      <c r="E937" s="5"/>
      <c r="F937" s="5"/>
    </row>
    <row r="938" spans="1:6" ht="15.75" customHeight="1" x14ac:dyDescent="0.3">
      <c r="A938" s="5"/>
      <c r="B938" s="5"/>
      <c r="C938" s="5"/>
      <c r="D938" s="5"/>
      <c r="E938" s="5"/>
      <c r="F938" s="5"/>
    </row>
    <row r="939" spans="1:6" ht="15.75" customHeight="1" x14ac:dyDescent="0.3">
      <c r="A939" s="5"/>
      <c r="B939" s="5"/>
      <c r="C939" s="5"/>
      <c r="D939" s="5"/>
      <c r="E939" s="5"/>
      <c r="F939" s="5"/>
    </row>
    <row r="940" spans="1:6" ht="15.75" customHeight="1" x14ac:dyDescent="0.3">
      <c r="A940" s="5"/>
      <c r="B940" s="5"/>
      <c r="C940" s="5"/>
      <c r="D940" s="5"/>
      <c r="E940" s="5"/>
      <c r="F940" s="5"/>
    </row>
    <row r="941" spans="1:6" ht="15.75" customHeight="1" x14ac:dyDescent="0.3">
      <c r="A941" s="5"/>
      <c r="B941" s="5"/>
      <c r="C941" s="5"/>
      <c r="D941" s="5"/>
      <c r="E941" s="5"/>
      <c r="F941" s="5"/>
    </row>
    <row r="942" spans="1:6" ht="15.75" customHeight="1" x14ac:dyDescent="0.3">
      <c r="A942" s="5"/>
      <c r="B942" s="5"/>
      <c r="C942" s="5"/>
      <c r="D942" s="5"/>
      <c r="E942" s="5"/>
      <c r="F942" s="5"/>
    </row>
    <row r="943" spans="1:6" ht="15.75" customHeight="1" x14ac:dyDescent="0.3">
      <c r="A943" s="5"/>
      <c r="B943" s="5"/>
      <c r="C943" s="5"/>
      <c r="D943" s="5"/>
      <c r="E943" s="5"/>
      <c r="F943" s="5"/>
    </row>
    <row r="944" spans="1:6" ht="15.75" customHeight="1" x14ac:dyDescent="0.3">
      <c r="A944" s="5"/>
      <c r="B944" s="5"/>
      <c r="C944" s="5"/>
      <c r="D944" s="5"/>
      <c r="E944" s="5"/>
      <c r="F944" s="5"/>
    </row>
    <row r="945" spans="1:6" ht="15.75" customHeight="1" x14ac:dyDescent="0.3">
      <c r="A945" s="5"/>
      <c r="B945" s="5"/>
      <c r="C945" s="5"/>
      <c r="D945" s="5"/>
      <c r="E945" s="5"/>
      <c r="F945" s="5"/>
    </row>
    <row r="946" spans="1:6" ht="15.75" customHeight="1" x14ac:dyDescent="0.3">
      <c r="A946" s="5"/>
      <c r="B946" s="5"/>
      <c r="C946" s="5"/>
      <c r="D946" s="5"/>
      <c r="E946" s="5"/>
      <c r="F946" s="5"/>
    </row>
    <row r="947" spans="1:6" ht="15.75" customHeight="1" x14ac:dyDescent="0.3">
      <c r="A947" s="5"/>
      <c r="B947" s="5"/>
      <c r="C947" s="5"/>
      <c r="D947" s="5"/>
      <c r="E947" s="5"/>
      <c r="F947" s="5"/>
    </row>
    <row r="948" spans="1:6" ht="15.75" customHeight="1" x14ac:dyDescent="0.3">
      <c r="A948" s="5"/>
      <c r="B948" s="5"/>
      <c r="C948" s="5"/>
      <c r="D948" s="5"/>
      <c r="E948" s="5"/>
      <c r="F948" s="5"/>
    </row>
    <row r="949" spans="1:6" ht="15.75" customHeight="1" x14ac:dyDescent="0.3">
      <c r="A949" s="5"/>
      <c r="B949" s="5"/>
      <c r="C949" s="5"/>
      <c r="D949" s="5"/>
      <c r="E949" s="5"/>
      <c r="F949" s="5"/>
    </row>
    <row r="950" spans="1:6" ht="15.75" customHeight="1" x14ac:dyDescent="0.3">
      <c r="A950" s="5"/>
      <c r="B950" s="5"/>
      <c r="C950" s="5"/>
      <c r="D950" s="5"/>
      <c r="E950" s="5"/>
      <c r="F950" s="5"/>
    </row>
    <row r="951" spans="1:6" ht="15.75" customHeight="1" x14ac:dyDescent="0.3">
      <c r="A951" s="5"/>
      <c r="B951" s="5"/>
      <c r="C951" s="5"/>
      <c r="D951" s="5"/>
      <c r="E951" s="5"/>
      <c r="F951" s="5"/>
    </row>
    <row r="952" spans="1:6" ht="15.75" customHeight="1" x14ac:dyDescent="0.3">
      <c r="A952" s="5"/>
      <c r="B952" s="5"/>
      <c r="C952" s="5"/>
      <c r="D952" s="5"/>
      <c r="E952" s="5"/>
      <c r="F952" s="5"/>
    </row>
    <row r="953" spans="1:6" ht="15.75" customHeight="1" x14ac:dyDescent="0.3">
      <c r="A953" s="5"/>
      <c r="B953" s="5"/>
      <c r="C953" s="5"/>
      <c r="D953" s="5"/>
      <c r="E953" s="5"/>
      <c r="F953" s="5"/>
    </row>
    <row r="954" spans="1:6" ht="15.75" customHeight="1" x14ac:dyDescent="0.3">
      <c r="A954" s="5"/>
      <c r="B954" s="5"/>
      <c r="C954" s="5"/>
      <c r="D954" s="5"/>
      <c r="E954" s="5"/>
      <c r="F954" s="5"/>
    </row>
    <row r="955" spans="1:6" ht="15.75" customHeight="1" x14ac:dyDescent="0.3">
      <c r="A955" s="5"/>
      <c r="B955" s="5"/>
      <c r="C955" s="5"/>
      <c r="D955" s="5"/>
      <c r="E955" s="5"/>
      <c r="F955" s="5"/>
    </row>
    <row r="956" spans="1:6" ht="15.75" customHeight="1" x14ac:dyDescent="0.3">
      <c r="A956" s="5"/>
      <c r="B956" s="5"/>
      <c r="C956" s="5"/>
      <c r="D956" s="5"/>
      <c r="E956" s="5"/>
      <c r="F956" s="5"/>
    </row>
    <row r="957" spans="1:6" ht="15.75" customHeight="1" x14ac:dyDescent="0.3">
      <c r="A957" s="5"/>
      <c r="B957" s="5"/>
      <c r="C957" s="5"/>
      <c r="D957" s="5"/>
      <c r="E957" s="5"/>
      <c r="F957" s="5"/>
    </row>
    <row r="958" spans="1:6" ht="15.75" customHeight="1" x14ac:dyDescent="0.3">
      <c r="A958" s="5"/>
      <c r="B958" s="5"/>
      <c r="C958" s="5"/>
      <c r="D958" s="5"/>
      <c r="E958" s="5"/>
      <c r="F958" s="5"/>
    </row>
    <row r="959" spans="1:6" ht="15.75" customHeight="1" x14ac:dyDescent="0.3">
      <c r="A959" s="5"/>
      <c r="B959" s="5"/>
      <c r="C959" s="5"/>
      <c r="D959" s="5"/>
      <c r="E959" s="5"/>
      <c r="F959" s="5"/>
    </row>
    <row r="960" spans="1:6" ht="15.75" customHeight="1" x14ac:dyDescent="0.3">
      <c r="A960" s="5"/>
      <c r="B960" s="5"/>
      <c r="C960" s="5"/>
      <c r="D960" s="5"/>
      <c r="E960" s="5"/>
      <c r="F960" s="5"/>
    </row>
    <row r="961" spans="1:6" ht="15.75" customHeight="1" x14ac:dyDescent="0.3">
      <c r="A961" s="5"/>
      <c r="B961" s="5"/>
      <c r="C961" s="5"/>
      <c r="D961" s="5"/>
      <c r="E961" s="5"/>
      <c r="F961" s="5"/>
    </row>
    <row r="962" spans="1:6" ht="15.75" customHeight="1" x14ac:dyDescent="0.3">
      <c r="A962" s="5"/>
      <c r="B962" s="5"/>
      <c r="C962" s="5"/>
      <c r="D962" s="5"/>
      <c r="E962" s="5"/>
      <c r="F962" s="5"/>
    </row>
    <row r="963" spans="1:6" ht="15.75" customHeight="1" x14ac:dyDescent="0.3">
      <c r="A963" s="5"/>
      <c r="B963" s="5"/>
      <c r="C963" s="5"/>
      <c r="D963" s="5"/>
      <c r="E963" s="5"/>
      <c r="F963" s="5"/>
    </row>
    <row r="964" spans="1:6" ht="15.75" customHeight="1" x14ac:dyDescent="0.3">
      <c r="A964" s="5"/>
      <c r="B964" s="5"/>
      <c r="C964" s="5"/>
      <c r="D964" s="5"/>
      <c r="E964" s="5"/>
      <c r="F964" s="5"/>
    </row>
    <row r="965" spans="1:6" ht="15.75" customHeight="1" x14ac:dyDescent="0.3">
      <c r="A965" s="5"/>
      <c r="B965" s="5"/>
      <c r="C965" s="5"/>
      <c r="D965" s="5"/>
      <c r="E965" s="5"/>
      <c r="F965" s="5"/>
    </row>
    <row r="966" spans="1:6" ht="15.75" customHeight="1" x14ac:dyDescent="0.3">
      <c r="A966" s="5"/>
      <c r="B966" s="5"/>
      <c r="C966" s="5"/>
      <c r="D966" s="5"/>
      <c r="E966" s="5"/>
      <c r="F966" s="5"/>
    </row>
    <row r="967" spans="1:6" ht="15.75" customHeight="1" x14ac:dyDescent="0.3">
      <c r="A967" s="5"/>
      <c r="B967" s="5"/>
      <c r="C967" s="5"/>
      <c r="D967" s="5"/>
      <c r="E967" s="5"/>
      <c r="F967" s="5"/>
    </row>
    <row r="968" spans="1:6" ht="15.75" customHeight="1" x14ac:dyDescent="0.3">
      <c r="A968" s="5"/>
      <c r="B968" s="5"/>
      <c r="C968" s="5"/>
      <c r="D968" s="5"/>
      <c r="E968" s="5"/>
      <c r="F968" s="5"/>
    </row>
    <row r="969" spans="1:6" ht="15.75" customHeight="1" x14ac:dyDescent="0.3">
      <c r="A969" s="5"/>
      <c r="B969" s="5"/>
      <c r="C969" s="5"/>
      <c r="D969" s="5"/>
      <c r="E969" s="5"/>
      <c r="F969" s="5"/>
    </row>
    <row r="970" spans="1:6" ht="15.75" customHeight="1" x14ac:dyDescent="0.3">
      <c r="A970" s="5"/>
      <c r="B970" s="5"/>
      <c r="C970" s="5"/>
      <c r="D970" s="5"/>
      <c r="E970" s="5"/>
      <c r="F970" s="5"/>
    </row>
    <row r="971" spans="1:6" ht="15.75" customHeight="1" x14ac:dyDescent="0.3">
      <c r="A971" s="5"/>
      <c r="B971" s="5"/>
      <c r="C971" s="5"/>
      <c r="D971" s="5"/>
      <c r="E971" s="5"/>
      <c r="F971" s="5"/>
    </row>
    <row r="972" spans="1:6" ht="15.75" customHeight="1" x14ac:dyDescent="0.3">
      <c r="A972" s="5"/>
      <c r="B972" s="5"/>
      <c r="C972" s="5"/>
      <c r="D972" s="5"/>
      <c r="E972" s="5"/>
      <c r="F972" s="5"/>
    </row>
    <row r="973" spans="1:6" ht="15.75" customHeight="1" x14ac:dyDescent="0.3">
      <c r="A973" s="5"/>
      <c r="B973" s="5"/>
      <c r="C973" s="5"/>
      <c r="D973" s="5"/>
      <c r="E973" s="5"/>
      <c r="F973" s="5"/>
    </row>
    <row r="974" spans="1:6" ht="15.75" customHeight="1" x14ac:dyDescent="0.3">
      <c r="A974" s="5"/>
      <c r="B974" s="5"/>
      <c r="C974" s="5"/>
      <c r="D974" s="5"/>
      <c r="E974" s="5"/>
      <c r="F974" s="5"/>
    </row>
    <row r="975" spans="1:6" ht="15.75" customHeight="1" x14ac:dyDescent="0.3">
      <c r="A975" s="5"/>
      <c r="B975" s="5"/>
      <c r="C975" s="5"/>
      <c r="D975" s="5"/>
      <c r="E975" s="5"/>
      <c r="F975" s="5"/>
    </row>
    <row r="976" spans="1:6" ht="15.75" customHeight="1" x14ac:dyDescent="0.3">
      <c r="A976" s="5"/>
      <c r="B976" s="5"/>
      <c r="C976" s="5"/>
      <c r="D976" s="5"/>
      <c r="E976" s="5"/>
      <c r="F976" s="5"/>
    </row>
    <row r="977" spans="1:6" ht="15.75" customHeight="1" x14ac:dyDescent="0.3">
      <c r="A977" s="5"/>
      <c r="B977" s="5"/>
      <c r="C977" s="5"/>
      <c r="D977" s="5"/>
      <c r="E977" s="5"/>
      <c r="F977" s="5"/>
    </row>
    <row r="978" spans="1:6" ht="15.75" customHeight="1" x14ac:dyDescent="0.3">
      <c r="A978" s="5"/>
      <c r="B978" s="5"/>
      <c r="C978" s="5"/>
      <c r="D978" s="5"/>
      <c r="E978" s="5"/>
      <c r="F978" s="5"/>
    </row>
    <row r="979" spans="1:6" ht="15.75" customHeight="1" x14ac:dyDescent="0.3">
      <c r="A979" s="5"/>
      <c r="B979" s="5"/>
      <c r="C979" s="5"/>
      <c r="D979" s="5"/>
      <c r="E979" s="5"/>
      <c r="F979" s="5"/>
    </row>
    <row r="980" spans="1:6" ht="15.75" customHeight="1" x14ac:dyDescent="0.3">
      <c r="A980" s="5"/>
      <c r="B980" s="5"/>
      <c r="C980" s="5"/>
      <c r="D980" s="5"/>
      <c r="E980" s="5"/>
      <c r="F980" s="5"/>
    </row>
    <row r="981" spans="1:6" ht="15.75" customHeight="1" x14ac:dyDescent="0.3">
      <c r="A981" s="5"/>
      <c r="B981" s="5"/>
      <c r="C981" s="5"/>
      <c r="D981" s="5"/>
      <c r="E981" s="5"/>
      <c r="F981" s="5"/>
    </row>
    <row r="982" spans="1:6" ht="15.75" customHeight="1" x14ac:dyDescent="0.3">
      <c r="A982" s="5"/>
      <c r="B982" s="5"/>
      <c r="C982" s="5"/>
      <c r="D982" s="5"/>
      <c r="E982" s="5"/>
      <c r="F982" s="5"/>
    </row>
    <row r="983" spans="1:6" ht="15.75" customHeight="1" x14ac:dyDescent="0.3">
      <c r="A983" s="5"/>
      <c r="B983" s="5"/>
      <c r="C983" s="5"/>
      <c r="D983" s="5"/>
      <c r="E983" s="5"/>
      <c r="F983" s="5"/>
    </row>
    <row r="984" spans="1:6" ht="15.75" customHeight="1" x14ac:dyDescent="0.3">
      <c r="A984" s="5"/>
      <c r="B984" s="5"/>
      <c r="C984" s="5"/>
      <c r="D984" s="5"/>
      <c r="E984" s="5"/>
      <c r="F984" s="5"/>
    </row>
    <row r="985" spans="1:6" ht="15.75" customHeight="1" x14ac:dyDescent="0.3">
      <c r="A985" s="5"/>
      <c r="B985" s="5"/>
      <c r="C985" s="5"/>
      <c r="D985" s="5"/>
      <c r="E985" s="5"/>
      <c r="F985" s="5"/>
    </row>
    <row r="986" spans="1:6" ht="15.75" customHeight="1" x14ac:dyDescent="0.3">
      <c r="A986" s="5"/>
      <c r="B986" s="5"/>
      <c r="C986" s="5"/>
      <c r="D986" s="5"/>
      <c r="E986" s="5"/>
      <c r="F986" s="5"/>
    </row>
    <row r="987" spans="1:6" ht="15.75" customHeight="1" x14ac:dyDescent="0.3">
      <c r="A987" s="5"/>
      <c r="B987" s="5"/>
      <c r="C987" s="5"/>
      <c r="D987" s="5"/>
      <c r="E987" s="5"/>
      <c r="F987" s="5"/>
    </row>
    <row r="988" spans="1:6" ht="15.75" customHeight="1" x14ac:dyDescent="0.3">
      <c r="A988" s="5"/>
      <c r="B988" s="5"/>
      <c r="C988" s="5"/>
      <c r="D988" s="5"/>
      <c r="E988" s="5"/>
      <c r="F988" s="5"/>
    </row>
    <row r="989" spans="1:6" ht="15.75" customHeight="1" x14ac:dyDescent="0.3">
      <c r="A989" s="5"/>
      <c r="B989" s="5"/>
      <c r="C989" s="5"/>
      <c r="D989" s="5"/>
      <c r="E989" s="5"/>
      <c r="F989" s="5"/>
    </row>
    <row r="990" spans="1:6" ht="15.75" customHeight="1" x14ac:dyDescent="0.3">
      <c r="A990" s="5"/>
      <c r="B990" s="5"/>
      <c r="C990" s="5"/>
      <c r="D990" s="5"/>
      <c r="E990" s="5"/>
      <c r="F990" s="5"/>
    </row>
    <row r="991" spans="1:6" ht="15.75" customHeight="1" x14ac:dyDescent="0.3">
      <c r="A991" s="5"/>
      <c r="B991" s="5"/>
      <c r="C991" s="5"/>
      <c r="D991" s="5"/>
      <c r="E991" s="5"/>
      <c r="F991" s="5"/>
    </row>
    <row r="992" spans="1:6" ht="15.75" customHeight="1" x14ac:dyDescent="0.3">
      <c r="A992" s="5"/>
      <c r="B992" s="5"/>
      <c r="C992" s="5"/>
      <c r="D992" s="5"/>
      <c r="E992" s="5"/>
      <c r="F992" s="5"/>
    </row>
    <row r="993" spans="1:6" ht="15.75" customHeight="1" x14ac:dyDescent="0.3">
      <c r="A993" s="5"/>
      <c r="B993" s="5"/>
      <c r="C993" s="5"/>
      <c r="D993" s="5"/>
      <c r="E993" s="5"/>
      <c r="F993" s="5"/>
    </row>
    <row r="994" spans="1:6" ht="15.75" customHeight="1" x14ac:dyDescent="0.3">
      <c r="A994" s="5"/>
      <c r="B994" s="5"/>
      <c r="C994" s="5"/>
      <c r="D994" s="5"/>
      <c r="E994" s="5"/>
      <c r="F994" s="5"/>
    </row>
    <row r="995" spans="1:6" ht="15.75" customHeight="1" x14ac:dyDescent="0.3">
      <c r="A995" s="5"/>
      <c r="B995" s="5"/>
      <c r="C995" s="5"/>
      <c r="D995" s="5"/>
      <c r="E995" s="5"/>
      <c r="F995" s="5"/>
    </row>
    <row r="996" spans="1:6" ht="15.75" customHeight="1" x14ac:dyDescent="0.3">
      <c r="A996" s="5"/>
      <c r="B996" s="5"/>
      <c r="C996" s="5"/>
      <c r="D996" s="5"/>
      <c r="E996" s="5"/>
      <c r="F996" s="5"/>
    </row>
    <row r="997" spans="1:6" ht="15.75" customHeight="1" x14ac:dyDescent="0.3">
      <c r="A997" s="5"/>
      <c r="B997" s="5"/>
      <c r="C997" s="5"/>
      <c r="D997" s="5"/>
      <c r="E997" s="5"/>
      <c r="F997" s="5"/>
    </row>
    <row r="998" spans="1:6" ht="15.75" customHeight="1" x14ac:dyDescent="0.3">
      <c r="A998" s="5"/>
      <c r="B998" s="5"/>
      <c r="C998" s="5"/>
      <c r="D998" s="5"/>
      <c r="E998" s="5"/>
      <c r="F998" s="5"/>
    </row>
    <row r="999" spans="1:6" ht="15.75" customHeight="1" x14ac:dyDescent="0.3">
      <c r="A999" s="5"/>
      <c r="B999" s="5"/>
      <c r="C999" s="5"/>
      <c r="D999" s="5"/>
      <c r="E999" s="5"/>
      <c r="F999" s="5"/>
    </row>
    <row r="1000" spans="1:6" ht="15.75" customHeight="1" x14ac:dyDescent="0.3">
      <c r="A1000" s="5"/>
      <c r="B1000" s="5"/>
      <c r="C1000" s="5"/>
      <c r="D1000" s="5"/>
      <c r="E1000" s="5"/>
      <c r="F1000" s="5"/>
    </row>
  </sheetData>
  <mergeCells count="1">
    <mergeCell ref="A2:F2"/>
  </mergeCells>
  <pageMargins left="0.75" right="0.75" top="1" bottom="1"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000"/>
  <sheetViews>
    <sheetView showGridLines="0" workbookViewId="0"/>
  </sheetViews>
  <sheetFormatPr defaultColWidth="14.44140625" defaultRowHeight="15" customHeight="1" x14ac:dyDescent="0.3"/>
  <cols>
    <col min="1" max="1" width="4" customWidth="1"/>
    <col min="2" max="2" width="30" customWidth="1"/>
    <col min="3" max="3" width="95" customWidth="1"/>
    <col min="4" max="26" width="8.6640625" customWidth="1"/>
  </cols>
  <sheetData>
    <row r="1" spans="1:3" ht="19.5" customHeight="1" x14ac:dyDescent="0.4">
      <c r="A1" s="5"/>
      <c r="B1" s="23" t="s">
        <v>1113</v>
      </c>
      <c r="C1" s="22"/>
    </row>
    <row r="2" spans="1:3" ht="15" customHeight="1" x14ac:dyDescent="0.3">
      <c r="A2" s="5"/>
      <c r="B2" s="21" t="s">
        <v>1114</v>
      </c>
      <c r="C2" s="22"/>
    </row>
    <row r="3" spans="1:3" ht="14.4" x14ac:dyDescent="0.3">
      <c r="A3" s="5"/>
      <c r="B3" s="5"/>
      <c r="C3" s="5"/>
    </row>
    <row r="4" spans="1:3" ht="30" customHeight="1" x14ac:dyDescent="0.3">
      <c r="A4" s="5"/>
      <c r="B4" s="24" t="s">
        <v>1115</v>
      </c>
      <c r="C4" s="25"/>
    </row>
    <row r="5" spans="1:3" ht="30" customHeight="1" x14ac:dyDescent="0.3">
      <c r="A5" s="5"/>
      <c r="B5" s="10" t="s">
        <v>1116</v>
      </c>
      <c r="C5" s="11" t="s">
        <v>1117</v>
      </c>
    </row>
    <row r="6" spans="1:3" ht="30" customHeight="1" x14ac:dyDescent="0.3">
      <c r="A6" s="5"/>
      <c r="B6" s="10" t="s">
        <v>1118</v>
      </c>
      <c r="C6" s="11" t="s">
        <v>1119</v>
      </c>
    </row>
    <row r="7" spans="1:3" ht="30" customHeight="1" x14ac:dyDescent="0.3">
      <c r="A7" s="5"/>
      <c r="B7" s="5"/>
      <c r="C7" s="5"/>
    </row>
    <row r="8" spans="1:3" ht="30" customHeight="1" x14ac:dyDescent="0.3">
      <c r="A8" s="5"/>
      <c r="B8" s="24" t="s">
        <v>1120</v>
      </c>
      <c r="C8" s="25"/>
    </row>
    <row r="9" spans="1:3" ht="30" customHeight="1" x14ac:dyDescent="0.3">
      <c r="A9" s="5"/>
      <c r="B9" s="10" t="s">
        <v>1121</v>
      </c>
      <c r="C9" s="11" t="s">
        <v>1122</v>
      </c>
    </row>
    <row r="10" spans="1:3" ht="30" customHeight="1" x14ac:dyDescent="0.3">
      <c r="A10" s="5"/>
      <c r="B10" s="10" t="s">
        <v>1123</v>
      </c>
      <c r="C10" s="11" t="s">
        <v>1124</v>
      </c>
    </row>
    <row r="11" spans="1:3" ht="30" customHeight="1" x14ac:dyDescent="0.3">
      <c r="A11" s="5"/>
      <c r="B11" s="10" t="s">
        <v>1125</v>
      </c>
      <c r="C11" s="11" t="s">
        <v>1126</v>
      </c>
    </row>
    <row r="12" spans="1:3" ht="30" customHeight="1" x14ac:dyDescent="0.3">
      <c r="A12" s="5"/>
      <c r="B12" s="10" t="s">
        <v>1127</v>
      </c>
      <c r="C12" s="11" t="s">
        <v>1128</v>
      </c>
    </row>
    <row r="13" spans="1:3" ht="30" customHeight="1" x14ac:dyDescent="0.3">
      <c r="A13" s="5"/>
      <c r="B13" s="10" t="s">
        <v>1129</v>
      </c>
      <c r="C13" s="11" t="s">
        <v>1130</v>
      </c>
    </row>
    <row r="14" spans="1:3" ht="30" customHeight="1" x14ac:dyDescent="0.3">
      <c r="A14" s="5"/>
      <c r="B14" s="10" t="s">
        <v>1131</v>
      </c>
      <c r="C14" s="11" t="s">
        <v>1132</v>
      </c>
    </row>
    <row r="15" spans="1:3" ht="30" customHeight="1" x14ac:dyDescent="0.3">
      <c r="A15" s="5"/>
      <c r="B15" s="10" t="s">
        <v>1133</v>
      </c>
      <c r="C15" s="11" t="s">
        <v>1134</v>
      </c>
    </row>
    <row r="16" spans="1:3" ht="30" customHeight="1" x14ac:dyDescent="0.3">
      <c r="A16" s="5"/>
      <c r="B16" s="10" t="s">
        <v>1135</v>
      </c>
      <c r="C16" s="11" t="s">
        <v>1136</v>
      </c>
    </row>
    <row r="17" spans="1:3" ht="30" customHeight="1" x14ac:dyDescent="0.3">
      <c r="A17" s="5"/>
      <c r="B17" s="10" t="s">
        <v>1137</v>
      </c>
      <c r="C17" s="11" t="s">
        <v>1138</v>
      </c>
    </row>
    <row r="18" spans="1:3" ht="30" customHeight="1" x14ac:dyDescent="0.3">
      <c r="A18" s="5"/>
      <c r="B18" s="10" t="s">
        <v>1139</v>
      </c>
      <c r="C18" s="11" t="s">
        <v>1140</v>
      </c>
    </row>
    <row r="19" spans="1:3" ht="30" customHeight="1" x14ac:dyDescent="0.3">
      <c r="A19" s="5"/>
      <c r="B19" s="5"/>
      <c r="C19" s="5"/>
    </row>
    <row r="20" spans="1:3" ht="30" customHeight="1" x14ac:dyDescent="0.3">
      <c r="A20" s="5"/>
      <c r="B20" s="24" t="s">
        <v>1141</v>
      </c>
      <c r="C20" s="25"/>
    </row>
    <row r="21" spans="1:3" ht="30" customHeight="1" x14ac:dyDescent="0.3">
      <c r="A21" s="5"/>
      <c r="B21" s="10" t="s">
        <v>1142</v>
      </c>
      <c r="C21" s="11" t="s">
        <v>1143</v>
      </c>
    </row>
    <row r="22" spans="1:3" ht="30" customHeight="1" x14ac:dyDescent="0.3">
      <c r="A22" s="5"/>
      <c r="B22" s="10" t="s">
        <v>1144</v>
      </c>
      <c r="C22" s="11" t="s">
        <v>1145</v>
      </c>
    </row>
    <row r="23" spans="1:3" ht="30" customHeight="1" x14ac:dyDescent="0.3">
      <c r="A23" s="5"/>
      <c r="B23" s="10" t="s">
        <v>1146</v>
      </c>
      <c r="C23" s="11" t="s">
        <v>1147</v>
      </c>
    </row>
    <row r="24" spans="1:3" ht="30" customHeight="1" x14ac:dyDescent="0.3">
      <c r="A24" s="5"/>
      <c r="B24" s="10" t="s">
        <v>1148</v>
      </c>
      <c r="C24" s="11" t="s">
        <v>1149</v>
      </c>
    </row>
    <row r="25" spans="1:3" ht="30" customHeight="1" x14ac:dyDescent="0.3">
      <c r="A25" s="5"/>
      <c r="B25" s="10" t="s">
        <v>1150</v>
      </c>
      <c r="C25" s="11" t="s">
        <v>1151</v>
      </c>
    </row>
    <row r="26" spans="1:3" ht="30" customHeight="1" x14ac:dyDescent="0.3">
      <c r="A26" s="5"/>
      <c r="B26" s="10" t="s">
        <v>1152</v>
      </c>
      <c r="C26" s="11" t="s">
        <v>1153</v>
      </c>
    </row>
    <row r="27" spans="1:3" ht="30" customHeight="1" x14ac:dyDescent="0.3">
      <c r="A27" s="5"/>
      <c r="B27" s="10" t="s">
        <v>1154</v>
      </c>
      <c r="C27" s="11" t="s">
        <v>1155</v>
      </c>
    </row>
    <row r="28" spans="1:3" ht="30" customHeight="1" x14ac:dyDescent="0.3">
      <c r="A28" s="5"/>
      <c r="B28" s="5"/>
      <c r="C28" s="5"/>
    </row>
    <row r="29" spans="1:3" ht="30" customHeight="1" x14ac:dyDescent="0.3">
      <c r="A29" s="5"/>
      <c r="B29" s="24" t="s">
        <v>1156</v>
      </c>
      <c r="C29" s="25"/>
    </row>
    <row r="30" spans="1:3" ht="30" customHeight="1" x14ac:dyDescent="0.3">
      <c r="A30" s="5"/>
      <c r="B30" s="10" t="s">
        <v>1157</v>
      </c>
      <c r="C30" s="11" t="s">
        <v>1158</v>
      </c>
    </row>
    <row r="31" spans="1:3" ht="30" customHeight="1" x14ac:dyDescent="0.3">
      <c r="A31" s="5"/>
      <c r="B31" s="10" t="s">
        <v>1159</v>
      </c>
      <c r="C31" s="11" t="s">
        <v>1160</v>
      </c>
    </row>
    <row r="32" spans="1:3" ht="30" customHeight="1" x14ac:dyDescent="0.3">
      <c r="A32" s="5"/>
      <c r="B32" s="10" t="s">
        <v>1161</v>
      </c>
      <c r="C32" s="11" t="s">
        <v>1162</v>
      </c>
    </row>
    <row r="33" spans="1:3" ht="30" customHeight="1" x14ac:dyDescent="0.3">
      <c r="A33" s="5"/>
      <c r="B33" s="10" t="s">
        <v>1163</v>
      </c>
      <c r="C33" s="11" t="s">
        <v>1164</v>
      </c>
    </row>
    <row r="34" spans="1:3" ht="30" customHeight="1" x14ac:dyDescent="0.3">
      <c r="A34" s="5"/>
      <c r="B34" s="5"/>
      <c r="C34" s="5"/>
    </row>
    <row r="35" spans="1:3" ht="30" customHeight="1" x14ac:dyDescent="0.3">
      <c r="A35" s="5"/>
      <c r="B35" s="24" t="s">
        <v>1165</v>
      </c>
      <c r="C35" s="25"/>
    </row>
    <row r="36" spans="1:3" ht="30" customHeight="1" x14ac:dyDescent="0.3">
      <c r="A36" s="5"/>
      <c r="B36" s="10" t="s">
        <v>1166</v>
      </c>
      <c r="C36" s="11" t="s">
        <v>1167</v>
      </c>
    </row>
    <row r="37" spans="1:3" ht="30" customHeight="1" x14ac:dyDescent="0.3">
      <c r="A37" s="5"/>
      <c r="B37" s="10" t="s">
        <v>1168</v>
      </c>
      <c r="C37" s="11" t="s">
        <v>1169</v>
      </c>
    </row>
    <row r="38" spans="1:3" ht="30" customHeight="1" x14ac:dyDescent="0.3">
      <c r="A38" s="5"/>
      <c r="B38" s="10" t="s">
        <v>1170</v>
      </c>
      <c r="C38" s="11" t="s">
        <v>1171</v>
      </c>
    </row>
    <row r="39" spans="1:3" ht="30" customHeight="1" x14ac:dyDescent="0.3">
      <c r="A39" s="5"/>
      <c r="B39" s="10" t="s">
        <v>1172</v>
      </c>
      <c r="C39" s="11" t="s">
        <v>1173</v>
      </c>
    </row>
    <row r="40" spans="1:3" ht="15.75" customHeight="1" x14ac:dyDescent="0.3">
      <c r="A40" s="5"/>
      <c r="B40" s="5"/>
      <c r="C40" s="5"/>
    </row>
    <row r="41" spans="1:3" ht="15.75" customHeight="1" x14ac:dyDescent="0.3">
      <c r="A41" s="5"/>
      <c r="B41" s="5"/>
      <c r="C41" s="5"/>
    </row>
    <row r="42" spans="1:3" ht="15.75" customHeight="1" x14ac:dyDescent="0.3">
      <c r="A42" s="5"/>
      <c r="B42" s="5"/>
      <c r="C42" s="5"/>
    </row>
    <row r="43" spans="1:3" ht="15.75" customHeight="1" x14ac:dyDescent="0.3">
      <c r="A43" s="5"/>
      <c r="B43" s="5"/>
      <c r="C43" s="5"/>
    </row>
    <row r="44" spans="1:3" ht="15.75" customHeight="1" x14ac:dyDescent="0.3">
      <c r="A44" s="5"/>
      <c r="B44" s="5"/>
      <c r="C44" s="5"/>
    </row>
    <row r="45" spans="1:3" ht="15.75" customHeight="1" x14ac:dyDescent="0.3">
      <c r="A45" s="5"/>
      <c r="B45" s="5"/>
      <c r="C45" s="5"/>
    </row>
    <row r="46" spans="1:3" ht="15.75" customHeight="1" x14ac:dyDescent="0.3">
      <c r="A46" s="5"/>
      <c r="B46" s="5"/>
      <c r="C46" s="5"/>
    </row>
    <row r="47" spans="1:3" ht="15.75" customHeight="1" x14ac:dyDescent="0.3">
      <c r="A47" s="5"/>
      <c r="B47" s="5"/>
      <c r="C47" s="5"/>
    </row>
    <row r="48" spans="1:3" ht="15.75" customHeight="1" x14ac:dyDescent="0.3">
      <c r="A48" s="5"/>
      <c r="B48" s="5"/>
      <c r="C48" s="5"/>
    </row>
    <row r="49" spans="1:3" ht="15.75" customHeight="1" x14ac:dyDescent="0.3">
      <c r="A49" s="5"/>
      <c r="B49" s="5"/>
      <c r="C49" s="5"/>
    </row>
    <row r="50" spans="1:3" ht="15.75" customHeight="1" x14ac:dyDescent="0.3">
      <c r="A50" s="5"/>
      <c r="B50" s="5"/>
      <c r="C50" s="5"/>
    </row>
    <row r="51" spans="1:3" ht="15.75" customHeight="1" x14ac:dyDescent="0.3">
      <c r="A51" s="5"/>
      <c r="B51" s="5"/>
      <c r="C51" s="5"/>
    </row>
    <row r="52" spans="1:3" ht="15.75" customHeight="1" x14ac:dyDescent="0.3">
      <c r="A52" s="5"/>
      <c r="B52" s="5"/>
      <c r="C52" s="5"/>
    </row>
    <row r="53" spans="1:3" ht="15.75" customHeight="1" x14ac:dyDescent="0.3">
      <c r="A53" s="5"/>
      <c r="B53" s="5"/>
      <c r="C53" s="5"/>
    </row>
    <row r="54" spans="1:3" ht="15.75" customHeight="1" x14ac:dyDescent="0.3">
      <c r="A54" s="5"/>
      <c r="B54" s="5"/>
      <c r="C54" s="5"/>
    </row>
    <row r="55" spans="1:3" ht="15.75" customHeight="1" x14ac:dyDescent="0.3">
      <c r="A55" s="5"/>
      <c r="B55" s="5"/>
      <c r="C55" s="5"/>
    </row>
    <row r="56" spans="1:3" ht="15.75" customHeight="1" x14ac:dyDescent="0.3">
      <c r="A56" s="5"/>
      <c r="B56" s="5"/>
      <c r="C56" s="5"/>
    </row>
    <row r="57" spans="1:3" ht="15.75" customHeight="1" x14ac:dyDescent="0.3">
      <c r="A57" s="5"/>
      <c r="B57" s="5"/>
      <c r="C57" s="5"/>
    </row>
    <row r="58" spans="1:3" ht="15.75" customHeight="1" x14ac:dyDescent="0.3">
      <c r="A58" s="5"/>
      <c r="B58" s="5"/>
      <c r="C58" s="5"/>
    </row>
    <row r="59" spans="1:3" ht="15.75" customHeight="1" x14ac:dyDescent="0.3">
      <c r="A59" s="5"/>
      <c r="B59" s="5"/>
      <c r="C59" s="5"/>
    </row>
    <row r="60" spans="1:3" ht="15.75" customHeight="1" x14ac:dyDescent="0.3">
      <c r="A60" s="5"/>
      <c r="B60" s="5"/>
      <c r="C60" s="5"/>
    </row>
    <row r="61" spans="1:3" ht="15.75" customHeight="1" x14ac:dyDescent="0.3">
      <c r="A61" s="5"/>
      <c r="B61" s="5"/>
      <c r="C61" s="5"/>
    </row>
    <row r="62" spans="1:3" ht="15.75" customHeight="1" x14ac:dyDescent="0.3">
      <c r="A62" s="5"/>
      <c r="B62" s="5"/>
      <c r="C62" s="5"/>
    </row>
    <row r="63" spans="1:3" ht="15.75" customHeight="1" x14ac:dyDescent="0.3">
      <c r="A63" s="5"/>
      <c r="B63" s="5"/>
      <c r="C63" s="5"/>
    </row>
    <row r="64" spans="1:3" ht="15.75" customHeight="1" x14ac:dyDescent="0.3">
      <c r="A64" s="5"/>
      <c r="B64" s="5"/>
      <c r="C64" s="5"/>
    </row>
    <row r="65" spans="1:3" ht="15.75" customHeight="1" x14ac:dyDescent="0.3">
      <c r="A65" s="5"/>
      <c r="B65" s="5"/>
      <c r="C65" s="5"/>
    </row>
    <row r="66" spans="1:3" ht="15.75" customHeight="1" x14ac:dyDescent="0.3">
      <c r="A66" s="5"/>
      <c r="B66" s="5"/>
      <c r="C66" s="5"/>
    </row>
    <row r="67" spans="1:3" ht="15.75" customHeight="1" x14ac:dyDescent="0.3">
      <c r="A67" s="5"/>
      <c r="B67" s="5"/>
      <c r="C67" s="5"/>
    </row>
    <row r="68" spans="1:3" ht="15.75" customHeight="1" x14ac:dyDescent="0.3">
      <c r="A68" s="5"/>
      <c r="B68" s="5"/>
      <c r="C68" s="5"/>
    </row>
    <row r="69" spans="1:3" ht="15.75" customHeight="1" x14ac:dyDescent="0.3">
      <c r="A69" s="5"/>
      <c r="B69" s="5"/>
      <c r="C69" s="5"/>
    </row>
    <row r="70" spans="1:3" ht="15.75" customHeight="1" x14ac:dyDescent="0.3">
      <c r="A70" s="5"/>
      <c r="B70" s="5"/>
      <c r="C70" s="5"/>
    </row>
    <row r="71" spans="1:3" ht="15.75" customHeight="1" x14ac:dyDescent="0.3">
      <c r="A71" s="5"/>
      <c r="B71" s="5"/>
      <c r="C71" s="5"/>
    </row>
    <row r="72" spans="1:3" ht="15.75" customHeight="1" x14ac:dyDescent="0.3">
      <c r="A72" s="5"/>
      <c r="B72" s="5"/>
      <c r="C72" s="5"/>
    </row>
    <row r="73" spans="1:3" ht="15.75" customHeight="1" x14ac:dyDescent="0.3">
      <c r="A73" s="5"/>
      <c r="B73" s="5"/>
      <c r="C73" s="5"/>
    </row>
    <row r="74" spans="1:3" ht="15.75" customHeight="1" x14ac:dyDescent="0.3">
      <c r="A74" s="5"/>
      <c r="B74" s="5"/>
      <c r="C74" s="5"/>
    </row>
    <row r="75" spans="1:3" ht="15.75" customHeight="1" x14ac:dyDescent="0.3">
      <c r="A75" s="5"/>
      <c r="B75" s="5"/>
      <c r="C75" s="5"/>
    </row>
    <row r="76" spans="1:3" ht="15.75" customHeight="1" x14ac:dyDescent="0.3">
      <c r="A76" s="5"/>
      <c r="B76" s="5"/>
      <c r="C76" s="5"/>
    </row>
    <row r="77" spans="1:3" ht="15.75" customHeight="1" x14ac:dyDescent="0.3">
      <c r="A77" s="5"/>
      <c r="B77" s="5"/>
      <c r="C77" s="5"/>
    </row>
    <row r="78" spans="1:3" ht="15.75" customHeight="1" x14ac:dyDescent="0.3">
      <c r="A78" s="5"/>
      <c r="B78" s="5"/>
      <c r="C78" s="5"/>
    </row>
    <row r="79" spans="1:3" ht="15.75" customHeight="1" x14ac:dyDescent="0.3">
      <c r="A79" s="5"/>
      <c r="B79" s="5"/>
      <c r="C79" s="5"/>
    </row>
    <row r="80" spans="1:3" ht="15.75" customHeight="1" x14ac:dyDescent="0.3">
      <c r="A80" s="5"/>
      <c r="B80" s="5"/>
      <c r="C80" s="5"/>
    </row>
    <row r="81" spans="1:3" ht="15.75" customHeight="1" x14ac:dyDescent="0.3">
      <c r="A81" s="5"/>
      <c r="B81" s="5"/>
      <c r="C81" s="5"/>
    </row>
    <row r="82" spans="1:3" ht="15.75" customHeight="1" x14ac:dyDescent="0.3">
      <c r="A82" s="5"/>
      <c r="B82" s="5"/>
      <c r="C82" s="5"/>
    </row>
    <row r="83" spans="1:3" ht="15.75" customHeight="1" x14ac:dyDescent="0.3">
      <c r="A83" s="5"/>
      <c r="B83" s="5"/>
      <c r="C83" s="5"/>
    </row>
    <row r="84" spans="1:3" ht="15.75" customHeight="1" x14ac:dyDescent="0.3">
      <c r="A84" s="5"/>
      <c r="B84" s="5"/>
      <c r="C84" s="5"/>
    </row>
    <row r="85" spans="1:3" ht="15.75" customHeight="1" x14ac:dyDescent="0.3">
      <c r="A85" s="5"/>
      <c r="B85" s="5"/>
      <c r="C85" s="5"/>
    </row>
    <row r="86" spans="1:3" ht="15.75" customHeight="1" x14ac:dyDescent="0.3">
      <c r="A86" s="5"/>
      <c r="B86" s="5"/>
      <c r="C86" s="5"/>
    </row>
    <row r="87" spans="1:3" ht="15.75" customHeight="1" x14ac:dyDescent="0.3">
      <c r="A87" s="5"/>
      <c r="B87" s="5"/>
      <c r="C87" s="5"/>
    </row>
    <row r="88" spans="1:3" ht="15.75" customHeight="1" x14ac:dyDescent="0.3">
      <c r="A88" s="5"/>
      <c r="B88" s="5"/>
      <c r="C88" s="5"/>
    </row>
    <row r="89" spans="1:3" ht="15.75" customHeight="1" x14ac:dyDescent="0.3">
      <c r="A89" s="5"/>
      <c r="B89" s="5"/>
      <c r="C89" s="5"/>
    </row>
    <row r="90" spans="1:3" ht="15.75" customHeight="1" x14ac:dyDescent="0.3">
      <c r="A90" s="5"/>
      <c r="B90" s="5"/>
      <c r="C90" s="5"/>
    </row>
    <row r="91" spans="1:3" ht="15.75" customHeight="1" x14ac:dyDescent="0.3">
      <c r="A91" s="5"/>
      <c r="B91" s="5"/>
      <c r="C91" s="5"/>
    </row>
    <row r="92" spans="1:3" ht="15.75" customHeight="1" x14ac:dyDescent="0.3">
      <c r="A92" s="5"/>
      <c r="B92" s="5"/>
      <c r="C92" s="5"/>
    </row>
    <row r="93" spans="1:3" ht="15.75" customHeight="1" x14ac:dyDescent="0.3">
      <c r="A93" s="5"/>
      <c r="B93" s="5"/>
      <c r="C93" s="5"/>
    </row>
    <row r="94" spans="1:3" ht="15.75" customHeight="1" x14ac:dyDescent="0.3">
      <c r="A94" s="5"/>
      <c r="B94" s="5"/>
      <c r="C94" s="5"/>
    </row>
    <row r="95" spans="1:3" ht="15.75" customHeight="1" x14ac:dyDescent="0.3">
      <c r="A95" s="5"/>
      <c r="B95" s="5"/>
      <c r="C95" s="5"/>
    </row>
    <row r="96" spans="1:3" ht="15.75" customHeight="1" x14ac:dyDescent="0.3">
      <c r="A96" s="5"/>
      <c r="B96" s="5"/>
      <c r="C96" s="5"/>
    </row>
    <row r="97" spans="1:3" ht="15.75" customHeight="1" x14ac:dyDescent="0.3">
      <c r="A97" s="5"/>
      <c r="B97" s="5"/>
      <c r="C97" s="5"/>
    </row>
    <row r="98" spans="1:3" ht="15.75" customHeight="1" x14ac:dyDescent="0.3">
      <c r="A98" s="5"/>
      <c r="B98" s="5"/>
      <c r="C98" s="5"/>
    </row>
    <row r="99" spans="1:3" ht="15.75" customHeight="1" x14ac:dyDescent="0.3">
      <c r="A99" s="5"/>
      <c r="B99" s="5"/>
      <c r="C99" s="5"/>
    </row>
    <row r="100" spans="1:3" ht="15.75" customHeight="1" x14ac:dyDescent="0.3">
      <c r="A100" s="5"/>
      <c r="B100" s="5"/>
      <c r="C100" s="5"/>
    </row>
    <row r="101" spans="1:3" ht="15.75" customHeight="1" x14ac:dyDescent="0.3">
      <c r="A101" s="5"/>
      <c r="B101" s="5"/>
      <c r="C101" s="5"/>
    </row>
    <row r="102" spans="1:3" ht="15.75" customHeight="1" x14ac:dyDescent="0.3">
      <c r="A102" s="5"/>
      <c r="B102" s="5"/>
      <c r="C102" s="5"/>
    </row>
    <row r="103" spans="1:3" ht="15.75" customHeight="1" x14ac:dyDescent="0.3">
      <c r="A103" s="5"/>
      <c r="B103" s="5"/>
      <c r="C103" s="5"/>
    </row>
    <row r="104" spans="1:3" ht="15.75" customHeight="1" x14ac:dyDescent="0.3">
      <c r="A104" s="5"/>
      <c r="B104" s="5"/>
      <c r="C104" s="5"/>
    </row>
    <row r="105" spans="1:3" ht="15.75" customHeight="1" x14ac:dyDescent="0.3">
      <c r="A105" s="5"/>
      <c r="B105" s="5"/>
      <c r="C105" s="5"/>
    </row>
    <row r="106" spans="1:3" ht="15.75" customHeight="1" x14ac:dyDescent="0.3">
      <c r="A106" s="5"/>
      <c r="B106" s="5"/>
      <c r="C106" s="5"/>
    </row>
    <row r="107" spans="1:3" ht="15.75" customHeight="1" x14ac:dyDescent="0.3">
      <c r="A107" s="5"/>
      <c r="B107" s="5"/>
      <c r="C107" s="5"/>
    </row>
    <row r="108" spans="1:3" ht="15.75" customHeight="1" x14ac:dyDescent="0.3">
      <c r="A108" s="5"/>
      <c r="B108" s="5"/>
      <c r="C108" s="5"/>
    </row>
    <row r="109" spans="1:3" ht="15.75" customHeight="1" x14ac:dyDescent="0.3">
      <c r="A109" s="5"/>
      <c r="B109" s="5"/>
      <c r="C109" s="5"/>
    </row>
    <row r="110" spans="1:3" ht="15.75" customHeight="1" x14ac:dyDescent="0.3">
      <c r="A110" s="5"/>
      <c r="B110" s="5"/>
      <c r="C110" s="5"/>
    </row>
    <row r="111" spans="1:3" ht="15.75" customHeight="1" x14ac:dyDescent="0.3">
      <c r="A111" s="5"/>
      <c r="B111" s="5"/>
      <c r="C111" s="5"/>
    </row>
    <row r="112" spans="1:3" ht="15.75" customHeight="1" x14ac:dyDescent="0.3">
      <c r="A112" s="5"/>
      <c r="B112" s="5"/>
      <c r="C112" s="5"/>
    </row>
    <row r="113" spans="1:3" ht="15.75" customHeight="1" x14ac:dyDescent="0.3">
      <c r="A113" s="5"/>
      <c r="B113" s="5"/>
      <c r="C113" s="5"/>
    </row>
    <row r="114" spans="1:3" ht="15.75" customHeight="1" x14ac:dyDescent="0.3">
      <c r="A114" s="5"/>
      <c r="B114" s="5"/>
      <c r="C114" s="5"/>
    </row>
    <row r="115" spans="1:3" ht="15.75" customHeight="1" x14ac:dyDescent="0.3">
      <c r="A115" s="5"/>
      <c r="B115" s="5"/>
      <c r="C115" s="5"/>
    </row>
    <row r="116" spans="1:3" ht="15.75" customHeight="1" x14ac:dyDescent="0.3">
      <c r="A116" s="5"/>
      <c r="B116" s="5"/>
      <c r="C116" s="5"/>
    </row>
    <row r="117" spans="1:3" ht="15.75" customHeight="1" x14ac:dyDescent="0.3">
      <c r="A117" s="5"/>
      <c r="B117" s="5"/>
      <c r="C117" s="5"/>
    </row>
    <row r="118" spans="1:3" ht="15.75" customHeight="1" x14ac:dyDescent="0.3">
      <c r="A118" s="5"/>
      <c r="B118" s="5"/>
      <c r="C118" s="5"/>
    </row>
    <row r="119" spans="1:3" ht="15.75" customHeight="1" x14ac:dyDescent="0.3">
      <c r="A119" s="5"/>
      <c r="B119" s="5"/>
      <c r="C119" s="5"/>
    </row>
    <row r="120" spans="1:3" ht="15.75" customHeight="1" x14ac:dyDescent="0.3">
      <c r="A120" s="5"/>
      <c r="B120" s="5"/>
      <c r="C120" s="5"/>
    </row>
    <row r="121" spans="1:3" ht="15.75" customHeight="1" x14ac:dyDescent="0.3">
      <c r="A121" s="5"/>
      <c r="B121" s="5"/>
      <c r="C121" s="5"/>
    </row>
    <row r="122" spans="1:3" ht="15.75" customHeight="1" x14ac:dyDescent="0.3">
      <c r="A122" s="5"/>
      <c r="B122" s="5"/>
      <c r="C122" s="5"/>
    </row>
    <row r="123" spans="1:3" ht="15.75" customHeight="1" x14ac:dyDescent="0.3">
      <c r="A123" s="5"/>
      <c r="B123" s="5"/>
      <c r="C123" s="5"/>
    </row>
    <row r="124" spans="1:3" ht="15.75" customHeight="1" x14ac:dyDescent="0.3">
      <c r="A124" s="5"/>
      <c r="B124" s="5"/>
      <c r="C124" s="5"/>
    </row>
    <row r="125" spans="1:3" ht="15.75" customHeight="1" x14ac:dyDescent="0.3">
      <c r="A125" s="5"/>
      <c r="B125" s="5"/>
      <c r="C125" s="5"/>
    </row>
    <row r="126" spans="1:3" ht="15.75" customHeight="1" x14ac:dyDescent="0.3">
      <c r="A126" s="5"/>
      <c r="B126" s="5"/>
      <c r="C126" s="5"/>
    </row>
    <row r="127" spans="1:3" ht="15.75" customHeight="1" x14ac:dyDescent="0.3">
      <c r="A127" s="5"/>
      <c r="B127" s="5"/>
      <c r="C127" s="5"/>
    </row>
    <row r="128" spans="1:3" ht="15.75" customHeight="1" x14ac:dyDescent="0.3">
      <c r="A128" s="5"/>
      <c r="B128" s="5"/>
      <c r="C128" s="5"/>
    </row>
    <row r="129" spans="1:3" ht="15.75" customHeight="1" x14ac:dyDescent="0.3">
      <c r="A129" s="5"/>
      <c r="B129" s="5"/>
      <c r="C129" s="5"/>
    </row>
    <row r="130" spans="1:3" ht="15.75" customHeight="1" x14ac:dyDescent="0.3">
      <c r="A130" s="5"/>
      <c r="B130" s="5"/>
      <c r="C130" s="5"/>
    </row>
    <row r="131" spans="1:3" ht="15.75" customHeight="1" x14ac:dyDescent="0.3">
      <c r="A131" s="5"/>
      <c r="B131" s="5"/>
      <c r="C131" s="5"/>
    </row>
    <row r="132" spans="1:3" ht="15.75" customHeight="1" x14ac:dyDescent="0.3">
      <c r="A132" s="5"/>
      <c r="B132" s="5"/>
      <c r="C132" s="5"/>
    </row>
    <row r="133" spans="1:3" ht="15.75" customHeight="1" x14ac:dyDescent="0.3">
      <c r="A133" s="5"/>
      <c r="B133" s="5"/>
      <c r="C133" s="5"/>
    </row>
    <row r="134" spans="1:3" ht="15.75" customHeight="1" x14ac:dyDescent="0.3">
      <c r="A134" s="5"/>
      <c r="B134" s="5"/>
      <c r="C134" s="5"/>
    </row>
    <row r="135" spans="1:3" ht="15.75" customHeight="1" x14ac:dyDescent="0.3">
      <c r="A135" s="5"/>
      <c r="B135" s="5"/>
      <c r="C135" s="5"/>
    </row>
    <row r="136" spans="1:3" ht="15.75" customHeight="1" x14ac:dyDescent="0.3">
      <c r="A136" s="5"/>
      <c r="B136" s="5"/>
      <c r="C136" s="5"/>
    </row>
    <row r="137" spans="1:3" ht="15.75" customHeight="1" x14ac:dyDescent="0.3">
      <c r="A137" s="5"/>
      <c r="B137" s="5"/>
      <c r="C137" s="5"/>
    </row>
    <row r="138" spans="1:3" ht="15.75" customHeight="1" x14ac:dyDescent="0.3">
      <c r="A138" s="5"/>
      <c r="B138" s="5"/>
      <c r="C138" s="5"/>
    </row>
    <row r="139" spans="1:3" ht="15.75" customHeight="1" x14ac:dyDescent="0.3">
      <c r="A139" s="5"/>
      <c r="B139" s="5"/>
      <c r="C139" s="5"/>
    </row>
    <row r="140" spans="1:3" ht="15.75" customHeight="1" x14ac:dyDescent="0.3">
      <c r="A140" s="5"/>
      <c r="B140" s="5"/>
      <c r="C140" s="5"/>
    </row>
    <row r="141" spans="1:3" ht="15.75" customHeight="1" x14ac:dyDescent="0.3">
      <c r="A141" s="5"/>
      <c r="B141" s="5"/>
      <c r="C141" s="5"/>
    </row>
    <row r="142" spans="1:3" ht="15.75" customHeight="1" x14ac:dyDescent="0.3">
      <c r="A142" s="5"/>
      <c r="B142" s="5"/>
      <c r="C142" s="5"/>
    </row>
    <row r="143" spans="1:3" ht="15.75" customHeight="1" x14ac:dyDescent="0.3">
      <c r="A143" s="5"/>
      <c r="B143" s="5"/>
      <c r="C143" s="5"/>
    </row>
    <row r="144" spans="1:3" ht="15.75" customHeight="1" x14ac:dyDescent="0.3">
      <c r="A144" s="5"/>
      <c r="B144" s="5"/>
      <c r="C144" s="5"/>
    </row>
    <row r="145" spans="1:3" ht="15.75" customHeight="1" x14ac:dyDescent="0.3">
      <c r="A145" s="5"/>
      <c r="B145" s="5"/>
      <c r="C145" s="5"/>
    </row>
    <row r="146" spans="1:3" ht="15.75" customHeight="1" x14ac:dyDescent="0.3">
      <c r="A146" s="5"/>
      <c r="B146" s="5"/>
      <c r="C146" s="5"/>
    </row>
    <row r="147" spans="1:3" ht="15.75" customHeight="1" x14ac:dyDescent="0.3">
      <c r="A147" s="5"/>
      <c r="B147" s="5"/>
      <c r="C147" s="5"/>
    </row>
    <row r="148" spans="1:3" ht="15.75" customHeight="1" x14ac:dyDescent="0.3">
      <c r="A148" s="5"/>
      <c r="B148" s="5"/>
      <c r="C148" s="5"/>
    </row>
    <row r="149" spans="1:3" ht="15.75" customHeight="1" x14ac:dyDescent="0.3">
      <c r="A149" s="5"/>
      <c r="B149" s="5"/>
      <c r="C149" s="5"/>
    </row>
    <row r="150" spans="1:3" ht="15.75" customHeight="1" x14ac:dyDescent="0.3">
      <c r="A150" s="5"/>
      <c r="B150" s="5"/>
      <c r="C150" s="5"/>
    </row>
    <row r="151" spans="1:3" ht="15.75" customHeight="1" x14ac:dyDescent="0.3">
      <c r="A151" s="5"/>
      <c r="B151" s="5"/>
      <c r="C151" s="5"/>
    </row>
    <row r="152" spans="1:3" ht="15.75" customHeight="1" x14ac:dyDescent="0.3">
      <c r="A152" s="5"/>
      <c r="B152" s="5"/>
      <c r="C152" s="5"/>
    </row>
    <row r="153" spans="1:3" ht="15.75" customHeight="1" x14ac:dyDescent="0.3">
      <c r="A153" s="5"/>
      <c r="B153" s="5"/>
      <c r="C153" s="5"/>
    </row>
    <row r="154" spans="1:3" ht="15.75" customHeight="1" x14ac:dyDescent="0.3">
      <c r="A154" s="5"/>
      <c r="B154" s="5"/>
      <c r="C154" s="5"/>
    </row>
    <row r="155" spans="1:3" ht="15.75" customHeight="1" x14ac:dyDescent="0.3">
      <c r="A155" s="5"/>
      <c r="B155" s="5"/>
      <c r="C155" s="5"/>
    </row>
    <row r="156" spans="1:3" ht="15.75" customHeight="1" x14ac:dyDescent="0.3">
      <c r="A156" s="5"/>
      <c r="B156" s="5"/>
      <c r="C156" s="5"/>
    </row>
    <row r="157" spans="1:3" ht="15.75" customHeight="1" x14ac:dyDescent="0.3">
      <c r="A157" s="5"/>
      <c r="B157" s="5"/>
      <c r="C157" s="5"/>
    </row>
    <row r="158" spans="1:3" ht="15.75" customHeight="1" x14ac:dyDescent="0.3">
      <c r="A158" s="5"/>
      <c r="B158" s="5"/>
      <c r="C158" s="5"/>
    </row>
    <row r="159" spans="1:3" ht="15.75" customHeight="1" x14ac:dyDescent="0.3">
      <c r="A159" s="5"/>
      <c r="B159" s="5"/>
      <c r="C159" s="5"/>
    </row>
    <row r="160" spans="1:3" ht="15.75" customHeight="1" x14ac:dyDescent="0.3">
      <c r="A160" s="5"/>
      <c r="B160" s="5"/>
      <c r="C160" s="5"/>
    </row>
    <row r="161" spans="1:3" ht="15.75" customHeight="1" x14ac:dyDescent="0.3">
      <c r="A161" s="5"/>
      <c r="B161" s="5"/>
      <c r="C161" s="5"/>
    </row>
    <row r="162" spans="1:3" ht="15.75" customHeight="1" x14ac:dyDescent="0.3">
      <c r="A162" s="5"/>
      <c r="B162" s="5"/>
      <c r="C162" s="5"/>
    </row>
    <row r="163" spans="1:3" ht="15.75" customHeight="1" x14ac:dyDescent="0.3">
      <c r="A163" s="5"/>
      <c r="B163" s="5"/>
      <c r="C163" s="5"/>
    </row>
    <row r="164" spans="1:3" ht="15.75" customHeight="1" x14ac:dyDescent="0.3">
      <c r="A164" s="5"/>
      <c r="B164" s="5"/>
      <c r="C164" s="5"/>
    </row>
    <row r="165" spans="1:3" ht="15.75" customHeight="1" x14ac:dyDescent="0.3">
      <c r="A165" s="5"/>
      <c r="B165" s="5"/>
      <c r="C165" s="5"/>
    </row>
    <row r="166" spans="1:3" ht="15.75" customHeight="1" x14ac:dyDescent="0.3">
      <c r="A166" s="5"/>
      <c r="B166" s="5"/>
      <c r="C166" s="5"/>
    </row>
    <row r="167" spans="1:3" ht="15.75" customHeight="1" x14ac:dyDescent="0.3">
      <c r="A167" s="5"/>
      <c r="B167" s="5"/>
      <c r="C167" s="5"/>
    </row>
    <row r="168" spans="1:3" ht="15.75" customHeight="1" x14ac:dyDescent="0.3">
      <c r="A168" s="5"/>
      <c r="B168" s="5"/>
      <c r="C168" s="5"/>
    </row>
    <row r="169" spans="1:3" ht="15.75" customHeight="1" x14ac:dyDescent="0.3">
      <c r="A169" s="5"/>
      <c r="B169" s="5"/>
      <c r="C169" s="5"/>
    </row>
    <row r="170" spans="1:3" ht="15.75" customHeight="1" x14ac:dyDescent="0.3">
      <c r="A170" s="5"/>
      <c r="B170" s="5"/>
      <c r="C170" s="5"/>
    </row>
    <row r="171" spans="1:3" ht="15.75" customHeight="1" x14ac:dyDescent="0.3">
      <c r="A171" s="5"/>
      <c r="B171" s="5"/>
      <c r="C171" s="5"/>
    </row>
    <row r="172" spans="1:3" ht="15.75" customHeight="1" x14ac:dyDescent="0.3">
      <c r="A172" s="5"/>
      <c r="B172" s="5"/>
      <c r="C172" s="5"/>
    </row>
    <row r="173" spans="1:3" ht="15.75" customHeight="1" x14ac:dyDescent="0.3">
      <c r="A173" s="5"/>
      <c r="B173" s="5"/>
      <c r="C173" s="5"/>
    </row>
    <row r="174" spans="1:3" ht="15.75" customHeight="1" x14ac:dyDescent="0.3">
      <c r="A174" s="5"/>
      <c r="B174" s="5"/>
      <c r="C174" s="5"/>
    </row>
    <row r="175" spans="1:3" ht="15.75" customHeight="1" x14ac:dyDescent="0.3">
      <c r="A175" s="5"/>
      <c r="B175" s="5"/>
      <c r="C175" s="5"/>
    </row>
    <row r="176" spans="1:3" ht="15.75" customHeight="1" x14ac:dyDescent="0.3">
      <c r="A176" s="5"/>
      <c r="B176" s="5"/>
      <c r="C176" s="5"/>
    </row>
    <row r="177" spans="1:3" ht="15.75" customHeight="1" x14ac:dyDescent="0.3">
      <c r="A177" s="5"/>
      <c r="B177" s="5"/>
      <c r="C177" s="5"/>
    </row>
    <row r="178" spans="1:3" ht="15.75" customHeight="1" x14ac:dyDescent="0.3">
      <c r="A178" s="5"/>
      <c r="B178" s="5"/>
      <c r="C178" s="5"/>
    </row>
    <row r="179" spans="1:3" ht="15.75" customHeight="1" x14ac:dyDescent="0.3">
      <c r="A179" s="5"/>
      <c r="B179" s="5"/>
      <c r="C179" s="5"/>
    </row>
    <row r="180" spans="1:3" ht="15.75" customHeight="1" x14ac:dyDescent="0.3">
      <c r="A180" s="5"/>
      <c r="B180" s="5"/>
      <c r="C180" s="5"/>
    </row>
    <row r="181" spans="1:3" ht="15.75" customHeight="1" x14ac:dyDescent="0.3">
      <c r="A181" s="5"/>
      <c r="B181" s="5"/>
      <c r="C181" s="5"/>
    </row>
    <row r="182" spans="1:3" ht="15.75" customHeight="1" x14ac:dyDescent="0.3">
      <c r="A182" s="5"/>
      <c r="B182" s="5"/>
      <c r="C182" s="5"/>
    </row>
    <row r="183" spans="1:3" ht="15.75" customHeight="1" x14ac:dyDescent="0.3">
      <c r="A183" s="5"/>
      <c r="B183" s="5"/>
      <c r="C183" s="5"/>
    </row>
    <row r="184" spans="1:3" ht="15.75" customHeight="1" x14ac:dyDescent="0.3">
      <c r="A184" s="5"/>
      <c r="B184" s="5"/>
      <c r="C184" s="5"/>
    </row>
    <row r="185" spans="1:3" ht="15.75" customHeight="1" x14ac:dyDescent="0.3">
      <c r="A185" s="5"/>
      <c r="B185" s="5"/>
      <c r="C185" s="5"/>
    </row>
    <row r="186" spans="1:3" ht="15.75" customHeight="1" x14ac:dyDescent="0.3">
      <c r="A186" s="5"/>
      <c r="B186" s="5"/>
      <c r="C186" s="5"/>
    </row>
    <row r="187" spans="1:3" ht="15.75" customHeight="1" x14ac:dyDescent="0.3">
      <c r="A187" s="5"/>
      <c r="B187" s="5"/>
      <c r="C187" s="5"/>
    </row>
    <row r="188" spans="1:3" ht="15.75" customHeight="1" x14ac:dyDescent="0.3">
      <c r="A188" s="5"/>
      <c r="B188" s="5"/>
      <c r="C188" s="5"/>
    </row>
    <row r="189" spans="1:3" ht="15.75" customHeight="1" x14ac:dyDescent="0.3">
      <c r="A189" s="5"/>
      <c r="B189" s="5"/>
      <c r="C189" s="5"/>
    </row>
    <row r="190" spans="1:3" ht="15.75" customHeight="1" x14ac:dyDescent="0.3">
      <c r="A190" s="5"/>
      <c r="B190" s="5"/>
      <c r="C190" s="5"/>
    </row>
    <row r="191" spans="1:3" ht="15.75" customHeight="1" x14ac:dyDescent="0.3">
      <c r="A191" s="5"/>
      <c r="B191" s="5"/>
      <c r="C191" s="5"/>
    </row>
    <row r="192" spans="1:3" ht="15.75" customHeight="1" x14ac:dyDescent="0.3">
      <c r="A192" s="5"/>
      <c r="B192" s="5"/>
      <c r="C192" s="5"/>
    </row>
    <row r="193" spans="1:3" ht="15.75" customHeight="1" x14ac:dyDescent="0.3">
      <c r="A193" s="5"/>
      <c r="B193" s="5"/>
      <c r="C193" s="5"/>
    </row>
    <row r="194" spans="1:3" ht="15.75" customHeight="1" x14ac:dyDescent="0.3">
      <c r="A194" s="5"/>
      <c r="B194" s="5"/>
      <c r="C194" s="5"/>
    </row>
    <row r="195" spans="1:3" ht="15.75" customHeight="1" x14ac:dyDescent="0.3">
      <c r="A195" s="5"/>
      <c r="B195" s="5"/>
      <c r="C195" s="5"/>
    </row>
    <row r="196" spans="1:3" ht="15.75" customHeight="1" x14ac:dyDescent="0.3">
      <c r="A196" s="5"/>
      <c r="B196" s="5"/>
      <c r="C196" s="5"/>
    </row>
    <row r="197" spans="1:3" ht="15.75" customHeight="1" x14ac:dyDescent="0.3">
      <c r="A197" s="5"/>
      <c r="B197" s="5"/>
      <c r="C197" s="5"/>
    </row>
    <row r="198" spans="1:3" ht="15.75" customHeight="1" x14ac:dyDescent="0.3">
      <c r="A198" s="5"/>
      <c r="B198" s="5"/>
      <c r="C198" s="5"/>
    </row>
    <row r="199" spans="1:3" ht="15.75" customHeight="1" x14ac:dyDescent="0.3">
      <c r="A199" s="5"/>
      <c r="B199" s="5"/>
      <c r="C199" s="5"/>
    </row>
    <row r="200" spans="1:3" ht="15.75" customHeight="1" x14ac:dyDescent="0.3">
      <c r="A200" s="5"/>
      <c r="B200" s="5"/>
      <c r="C200" s="5"/>
    </row>
    <row r="201" spans="1:3" ht="15.75" customHeight="1" x14ac:dyDescent="0.3">
      <c r="A201" s="5"/>
      <c r="B201" s="5"/>
      <c r="C201" s="5"/>
    </row>
    <row r="202" spans="1:3" ht="15.75" customHeight="1" x14ac:dyDescent="0.3">
      <c r="A202" s="5"/>
      <c r="B202" s="5"/>
      <c r="C202" s="5"/>
    </row>
    <row r="203" spans="1:3" ht="15.75" customHeight="1" x14ac:dyDescent="0.3">
      <c r="A203" s="5"/>
      <c r="B203" s="5"/>
      <c r="C203" s="5"/>
    </row>
    <row r="204" spans="1:3" ht="15.75" customHeight="1" x14ac:dyDescent="0.3">
      <c r="A204" s="5"/>
      <c r="B204" s="5"/>
      <c r="C204" s="5"/>
    </row>
    <row r="205" spans="1:3" ht="15.75" customHeight="1" x14ac:dyDescent="0.3">
      <c r="A205" s="5"/>
      <c r="B205" s="5"/>
      <c r="C205" s="5"/>
    </row>
    <row r="206" spans="1:3" ht="15.75" customHeight="1" x14ac:dyDescent="0.3">
      <c r="A206" s="5"/>
      <c r="B206" s="5"/>
      <c r="C206" s="5"/>
    </row>
    <row r="207" spans="1:3" ht="15.75" customHeight="1" x14ac:dyDescent="0.3">
      <c r="A207" s="5"/>
      <c r="B207" s="5"/>
      <c r="C207" s="5"/>
    </row>
    <row r="208" spans="1:3" ht="15.75" customHeight="1" x14ac:dyDescent="0.3">
      <c r="A208" s="5"/>
      <c r="B208" s="5"/>
      <c r="C208" s="5"/>
    </row>
    <row r="209" spans="1:3" ht="15.75" customHeight="1" x14ac:dyDescent="0.3">
      <c r="A209" s="5"/>
      <c r="B209" s="5"/>
      <c r="C209" s="5"/>
    </row>
    <row r="210" spans="1:3" ht="15.75" customHeight="1" x14ac:dyDescent="0.3">
      <c r="A210" s="5"/>
      <c r="B210" s="5"/>
      <c r="C210" s="5"/>
    </row>
    <row r="211" spans="1:3" ht="15.75" customHeight="1" x14ac:dyDescent="0.3">
      <c r="A211" s="5"/>
      <c r="B211" s="5"/>
      <c r="C211" s="5"/>
    </row>
    <row r="212" spans="1:3" ht="15.75" customHeight="1" x14ac:dyDescent="0.3">
      <c r="A212" s="5"/>
      <c r="B212" s="5"/>
      <c r="C212" s="5"/>
    </row>
    <row r="213" spans="1:3" ht="15.75" customHeight="1" x14ac:dyDescent="0.3">
      <c r="A213" s="5"/>
      <c r="B213" s="5"/>
      <c r="C213" s="5"/>
    </row>
    <row r="214" spans="1:3" ht="15.75" customHeight="1" x14ac:dyDescent="0.3">
      <c r="A214" s="5"/>
      <c r="B214" s="5"/>
      <c r="C214" s="5"/>
    </row>
    <row r="215" spans="1:3" ht="15.75" customHeight="1" x14ac:dyDescent="0.3">
      <c r="A215" s="5"/>
      <c r="B215" s="5"/>
      <c r="C215" s="5"/>
    </row>
    <row r="216" spans="1:3" ht="15.75" customHeight="1" x14ac:dyDescent="0.3">
      <c r="A216" s="5"/>
      <c r="B216" s="5"/>
      <c r="C216" s="5"/>
    </row>
    <row r="217" spans="1:3" ht="15.75" customHeight="1" x14ac:dyDescent="0.3">
      <c r="A217" s="5"/>
      <c r="B217" s="5"/>
      <c r="C217" s="5"/>
    </row>
    <row r="218" spans="1:3" ht="15.75" customHeight="1" x14ac:dyDescent="0.3">
      <c r="A218" s="5"/>
      <c r="B218" s="5"/>
      <c r="C218" s="5"/>
    </row>
    <row r="219" spans="1:3" ht="15.75" customHeight="1" x14ac:dyDescent="0.3">
      <c r="A219" s="5"/>
      <c r="B219" s="5"/>
      <c r="C219" s="5"/>
    </row>
    <row r="220" spans="1:3" ht="15.75" customHeight="1" x14ac:dyDescent="0.3">
      <c r="A220" s="5"/>
      <c r="B220" s="5"/>
      <c r="C220" s="5"/>
    </row>
    <row r="221" spans="1:3" ht="15.75" customHeight="1" x14ac:dyDescent="0.3">
      <c r="A221" s="5"/>
      <c r="B221" s="5"/>
      <c r="C221" s="5"/>
    </row>
    <row r="222" spans="1:3" ht="15.75" customHeight="1" x14ac:dyDescent="0.3">
      <c r="A222" s="5"/>
      <c r="B222" s="5"/>
      <c r="C222" s="5"/>
    </row>
    <row r="223" spans="1:3" ht="15.75" customHeight="1" x14ac:dyDescent="0.3">
      <c r="A223" s="5"/>
      <c r="B223" s="5"/>
      <c r="C223" s="5"/>
    </row>
    <row r="224" spans="1:3" ht="15.75" customHeight="1" x14ac:dyDescent="0.3">
      <c r="A224" s="5"/>
      <c r="B224" s="5"/>
      <c r="C224" s="5"/>
    </row>
    <row r="225" spans="1:3" ht="15.75" customHeight="1" x14ac:dyDescent="0.3">
      <c r="A225" s="5"/>
      <c r="B225" s="5"/>
      <c r="C225" s="5"/>
    </row>
    <row r="226" spans="1:3" ht="15.75" customHeight="1" x14ac:dyDescent="0.3">
      <c r="A226" s="5"/>
      <c r="B226" s="5"/>
      <c r="C226" s="5"/>
    </row>
    <row r="227" spans="1:3" ht="15.75" customHeight="1" x14ac:dyDescent="0.3">
      <c r="A227" s="5"/>
      <c r="B227" s="5"/>
      <c r="C227" s="5"/>
    </row>
    <row r="228" spans="1:3" ht="15.75" customHeight="1" x14ac:dyDescent="0.3">
      <c r="A228" s="5"/>
      <c r="B228" s="5"/>
      <c r="C228" s="5"/>
    </row>
    <row r="229" spans="1:3" ht="15.75" customHeight="1" x14ac:dyDescent="0.3">
      <c r="A229" s="5"/>
      <c r="B229" s="5"/>
      <c r="C229" s="5"/>
    </row>
    <row r="230" spans="1:3" ht="15.75" customHeight="1" x14ac:dyDescent="0.3">
      <c r="A230" s="5"/>
      <c r="B230" s="5"/>
      <c r="C230" s="5"/>
    </row>
    <row r="231" spans="1:3" ht="15.75" customHeight="1" x14ac:dyDescent="0.3">
      <c r="A231" s="5"/>
      <c r="B231" s="5"/>
      <c r="C231" s="5"/>
    </row>
    <row r="232" spans="1:3" ht="15.75" customHeight="1" x14ac:dyDescent="0.3">
      <c r="A232" s="5"/>
      <c r="B232" s="5"/>
      <c r="C232" s="5"/>
    </row>
    <row r="233" spans="1:3" ht="15.75" customHeight="1" x14ac:dyDescent="0.3">
      <c r="A233" s="5"/>
      <c r="B233" s="5"/>
      <c r="C233" s="5"/>
    </row>
    <row r="234" spans="1:3" ht="15.75" customHeight="1" x14ac:dyDescent="0.3">
      <c r="A234" s="5"/>
      <c r="B234" s="5"/>
      <c r="C234" s="5"/>
    </row>
    <row r="235" spans="1:3" ht="15.75" customHeight="1" x14ac:dyDescent="0.3">
      <c r="A235" s="5"/>
      <c r="B235" s="5"/>
      <c r="C235" s="5"/>
    </row>
    <row r="236" spans="1:3" ht="15.75" customHeight="1" x14ac:dyDescent="0.3">
      <c r="A236" s="5"/>
      <c r="B236" s="5"/>
      <c r="C236" s="5"/>
    </row>
    <row r="237" spans="1:3" ht="15.75" customHeight="1" x14ac:dyDescent="0.3">
      <c r="A237" s="5"/>
      <c r="B237" s="5"/>
      <c r="C237" s="5"/>
    </row>
    <row r="238" spans="1:3" ht="15.75" customHeight="1" x14ac:dyDescent="0.3">
      <c r="A238" s="5"/>
      <c r="B238" s="5"/>
      <c r="C238" s="5"/>
    </row>
    <row r="239" spans="1:3" ht="15.75" customHeight="1" x14ac:dyDescent="0.3">
      <c r="A239" s="5"/>
      <c r="B239" s="5"/>
      <c r="C239" s="5"/>
    </row>
    <row r="240" spans="1:3" ht="15.75" customHeight="1" x14ac:dyDescent="0.3">
      <c r="A240" s="5"/>
      <c r="B240" s="5"/>
      <c r="C240" s="5"/>
    </row>
    <row r="241" spans="1:3" ht="15.75" customHeight="1" x14ac:dyDescent="0.3">
      <c r="A241" s="5"/>
      <c r="B241" s="5"/>
      <c r="C241" s="5"/>
    </row>
    <row r="242" spans="1:3" ht="15.75" customHeight="1" x14ac:dyDescent="0.3">
      <c r="A242" s="5"/>
      <c r="B242" s="5"/>
      <c r="C242" s="5"/>
    </row>
    <row r="243" spans="1:3" ht="15.75" customHeight="1" x14ac:dyDescent="0.3">
      <c r="A243" s="5"/>
      <c r="B243" s="5"/>
      <c r="C243" s="5"/>
    </row>
    <row r="244" spans="1:3" ht="15.75" customHeight="1" x14ac:dyDescent="0.3">
      <c r="A244" s="5"/>
      <c r="B244" s="5"/>
      <c r="C244" s="5"/>
    </row>
    <row r="245" spans="1:3" ht="15.75" customHeight="1" x14ac:dyDescent="0.3">
      <c r="A245" s="5"/>
      <c r="B245" s="5"/>
      <c r="C245" s="5"/>
    </row>
    <row r="246" spans="1:3" ht="15.75" customHeight="1" x14ac:dyDescent="0.3">
      <c r="A246" s="5"/>
      <c r="B246" s="5"/>
      <c r="C246" s="5"/>
    </row>
    <row r="247" spans="1:3" ht="15.75" customHeight="1" x14ac:dyDescent="0.3">
      <c r="A247" s="5"/>
      <c r="B247" s="5"/>
      <c r="C247" s="5"/>
    </row>
    <row r="248" spans="1:3" ht="15.75" customHeight="1" x14ac:dyDescent="0.3">
      <c r="A248" s="5"/>
      <c r="B248" s="5"/>
      <c r="C248" s="5"/>
    </row>
    <row r="249" spans="1:3" ht="15.75" customHeight="1" x14ac:dyDescent="0.3">
      <c r="A249" s="5"/>
      <c r="B249" s="5"/>
      <c r="C249" s="5"/>
    </row>
    <row r="250" spans="1:3" ht="15.75" customHeight="1" x14ac:dyDescent="0.3">
      <c r="A250" s="5"/>
      <c r="B250" s="5"/>
      <c r="C250" s="5"/>
    </row>
    <row r="251" spans="1:3" ht="15.75" customHeight="1" x14ac:dyDescent="0.3">
      <c r="A251" s="5"/>
      <c r="B251" s="5"/>
      <c r="C251" s="5"/>
    </row>
    <row r="252" spans="1:3" ht="15.75" customHeight="1" x14ac:dyDescent="0.3">
      <c r="A252" s="5"/>
      <c r="B252" s="5"/>
      <c r="C252" s="5"/>
    </row>
    <row r="253" spans="1:3" ht="15.75" customHeight="1" x14ac:dyDescent="0.3">
      <c r="A253" s="5"/>
      <c r="B253" s="5"/>
      <c r="C253" s="5"/>
    </row>
    <row r="254" spans="1:3" ht="15.75" customHeight="1" x14ac:dyDescent="0.3">
      <c r="A254" s="5"/>
      <c r="B254" s="5"/>
      <c r="C254" s="5"/>
    </row>
    <row r="255" spans="1:3" ht="15.75" customHeight="1" x14ac:dyDescent="0.3">
      <c r="A255" s="5"/>
      <c r="B255" s="5"/>
      <c r="C255" s="5"/>
    </row>
    <row r="256" spans="1:3" ht="15.75" customHeight="1" x14ac:dyDescent="0.3">
      <c r="A256" s="5"/>
      <c r="B256" s="5"/>
      <c r="C256" s="5"/>
    </row>
    <row r="257" spans="1:3" ht="15.75" customHeight="1" x14ac:dyDescent="0.3">
      <c r="A257" s="5"/>
      <c r="B257" s="5"/>
      <c r="C257" s="5"/>
    </row>
    <row r="258" spans="1:3" ht="15.75" customHeight="1" x14ac:dyDescent="0.3">
      <c r="A258" s="5"/>
      <c r="B258" s="5"/>
      <c r="C258" s="5"/>
    </row>
    <row r="259" spans="1:3" ht="15.75" customHeight="1" x14ac:dyDescent="0.3">
      <c r="A259" s="5"/>
      <c r="B259" s="5"/>
      <c r="C259" s="5"/>
    </row>
    <row r="260" spans="1:3" ht="15.75" customHeight="1" x14ac:dyDescent="0.3">
      <c r="A260" s="5"/>
      <c r="B260" s="5"/>
      <c r="C260" s="5"/>
    </row>
    <row r="261" spans="1:3" ht="15.75" customHeight="1" x14ac:dyDescent="0.3">
      <c r="A261" s="5"/>
      <c r="B261" s="5"/>
      <c r="C261" s="5"/>
    </row>
    <row r="262" spans="1:3" ht="15.75" customHeight="1" x14ac:dyDescent="0.3">
      <c r="A262" s="5"/>
      <c r="B262" s="5"/>
      <c r="C262" s="5"/>
    </row>
    <row r="263" spans="1:3" ht="15.75" customHeight="1" x14ac:dyDescent="0.3">
      <c r="A263" s="5"/>
      <c r="B263" s="5"/>
      <c r="C263" s="5"/>
    </row>
    <row r="264" spans="1:3" ht="15.75" customHeight="1" x14ac:dyDescent="0.3">
      <c r="A264" s="5"/>
      <c r="B264" s="5"/>
      <c r="C264" s="5"/>
    </row>
    <row r="265" spans="1:3" ht="15.75" customHeight="1" x14ac:dyDescent="0.3">
      <c r="A265" s="5"/>
      <c r="B265" s="5"/>
      <c r="C265" s="5"/>
    </row>
    <row r="266" spans="1:3" ht="15.75" customHeight="1" x14ac:dyDescent="0.3">
      <c r="A266" s="5"/>
      <c r="B266" s="5"/>
      <c r="C266" s="5"/>
    </row>
    <row r="267" spans="1:3" ht="15.75" customHeight="1" x14ac:dyDescent="0.3">
      <c r="A267" s="5"/>
      <c r="B267" s="5"/>
      <c r="C267" s="5"/>
    </row>
    <row r="268" spans="1:3" ht="15.75" customHeight="1" x14ac:dyDescent="0.3">
      <c r="A268" s="5"/>
      <c r="B268" s="5"/>
      <c r="C268" s="5"/>
    </row>
    <row r="269" spans="1:3" ht="15.75" customHeight="1" x14ac:dyDescent="0.3">
      <c r="A269" s="5"/>
      <c r="B269" s="5"/>
      <c r="C269" s="5"/>
    </row>
    <row r="270" spans="1:3" ht="15.75" customHeight="1" x14ac:dyDescent="0.3">
      <c r="A270" s="5"/>
      <c r="B270" s="5"/>
      <c r="C270" s="5"/>
    </row>
    <row r="271" spans="1:3" ht="15.75" customHeight="1" x14ac:dyDescent="0.3">
      <c r="A271" s="5"/>
      <c r="B271" s="5"/>
      <c r="C271" s="5"/>
    </row>
    <row r="272" spans="1:3" ht="15.75" customHeight="1" x14ac:dyDescent="0.3">
      <c r="A272" s="5"/>
      <c r="B272" s="5"/>
      <c r="C272" s="5"/>
    </row>
    <row r="273" spans="1:3" ht="15.75" customHeight="1" x14ac:dyDescent="0.3">
      <c r="A273" s="5"/>
      <c r="B273" s="5"/>
      <c r="C273" s="5"/>
    </row>
    <row r="274" spans="1:3" ht="15.75" customHeight="1" x14ac:dyDescent="0.3">
      <c r="A274" s="5"/>
      <c r="B274" s="5"/>
      <c r="C274" s="5"/>
    </row>
    <row r="275" spans="1:3" ht="15.75" customHeight="1" x14ac:dyDescent="0.3">
      <c r="A275" s="5"/>
      <c r="B275" s="5"/>
      <c r="C275" s="5"/>
    </row>
    <row r="276" spans="1:3" ht="15.75" customHeight="1" x14ac:dyDescent="0.3">
      <c r="A276" s="5"/>
      <c r="B276" s="5"/>
      <c r="C276" s="5"/>
    </row>
    <row r="277" spans="1:3" ht="15.75" customHeight="1" x14ac:dyDescent="0.3">
      <c r="A277" s="5"/>
      <c r="B277" s="5"/>
      <c r="C277" s="5"/>
    </row>
    <row r="278" spans="1:3" ht="15.75" customHeight="1" x14ac:dyDescent="0.3">
      <c r="A278" s="5"/>
      <c r="B278" s="5"/>
      <c r="C278" s="5"/>
    </row>
    <row r="279" spans="1:3" ht="15.75" customHeight="1" x14ac:dyDescent="0.3">
      <c r="A279" s="5"/>
      <c r="B279" s="5"/>
      <c r="C279" s="5"/>
    </row>
    <row r="280" spans="1:3" ht="15.75" customHeight="1" x14ac:dyDescent="0.3">
      <c r="A280" s="5"/>
      <c r="B280" s="5"/>
      <c r="C280" s="5"/>
    </row>
    <row r="281" spans="1:3" ht="15.75" customHeight="1" x14ac:dyDescent="0.3">
      <c r="A281" s="5"/>
      <c r="B281" s="5"/>
      <c r="C281" s="5"/>
    </row>
    <row r="282" spans="1:3" ht="15.75" customHeight="1" x14ac:dyDescent="0.3">
      <c r="A282" s="5"/>
      <c r="B282" s="5"/>
      <c r="C282" s="5"/>
    </row>
    <row r="283" spans="1:3" ht="15.75" customHeight="1" x14ac:dyDescent="0.3">
      <c r="A283" s="5"/>
      <c r="B283" s="5"/>
      <c r="C283" s="5"/>
    </row>
    <row r="284" spans="1:3" ht="15.75" customHeight="1" x14ac:dyDescent="0.3">
      <c r="A284" s="5"/>
      <c r="B284" s="5"/>
      <c r="C284" s="5"/>
    </row>
    <row r="285" spans="1:3" ht="15.75" customHeight="1" x14ac:dyDescent="0.3">
      <c r="A285" s="5"/>
      <c r="B285" s="5"/>
      <c r="C285" s="5"/>
    </row>
    <row r="286" spans="1:3" ht="15.75" customHeight="1" x14ac:dyDescent="0.3">
      <c r="A286" s="5"/>
      <c r="B286" s="5"/>
      <c r="C286" s="5"/>
    </row>
    <row r="287" spans="1:3" ht="15.75" customHeight="1" x14ac:dyDescent="0.3">
      <c r="A287" s="5"/>
      <c r="B287" s="5"/>
      <c r="C287" s="5"/>
    </row>
    <row r="288" spans="1:3" ht="15.75" customHeight="1" x14ac:dyDescent="0.3">
      <c r="A288" s="5"/>
      <c r="B288" s="5"/>
      <c r="C288" s="5"/>
    </row>
    <row r="289" spans="1:3" ht="15.75" customHeight="1" x14ac:dyDescent="0.3">
      <c r="A289" s="5"/>
      <c r="B289" s="5"/>
      <c r="C289" s="5"/>
    </row>
    <row r="290" spans="1:3" ht="15.75" customHeight="1" x14ac:dyDescent="0.3">
      <c r="A290" s="5"/>
      <c r="B290" s="5"/>
      <c r="C290" s="5"/>
    </row>
    <row r="291" spans="1:3" ht="15.75" customHeight="1" x14ac:dyDescent="0.3">
      <c r="A291" s="5"/>
      <c r="B291" s="5"/>
      <c r="C291" s="5"/>
    </row>
    <row r="292" spans="1:3" ht="15.75" customHeight="1" x14ac:dyDescent="0.3">
      <c r="A292" s="5"/>
      <c r="B292" s="5"/>
      <c r="C292" s="5"/>
    </row>
    <row r="293" spans="1:3" ht="15.75" customHeight="1" x14ac:dyDescent="0.3">
      <c r="A293" s="5"/>
      <c r="B293" s="5"/>
      <c r="C293" s="5"/>
    </row>
    <row r="294" spans="1:3" ht="15.75" customHeight="1" x14ac:dyDescent="0.3">
      <c r="A294" s="5"/>
      <c r="B294" s="5"/>
      <c r="C294" s="5"/>
    </row>
    <row r="295" spans="1:3" ht="15.75" customHeight="1" x14ac:dyDescent="0.3">
      <c r="A295" s="5"/>
      <c r="B295" s="5"/>
      <c r="C295" s="5"/>
    </row>
    <row r="296" spans="1:3" ht="15.75" customHeight="1" x14ac:dyDescent="0.3">
      <c r="A296" s="5"/>
      <c r="B296" s="5"/>
      <c r="C296" s="5"/>
    </row>
    <row r="297" spans="1:3" ht="15.75" customHeight="1" x14ac:dyDescent="0.3">
      <c r="A297" s="5"/>
      <c r="B297" s="5"/>
      <c r="C297" s="5"/>
    </row>
    <row r="298" spans="1:3" ht="15.75" customHeight="1" x14ac:dyDescent="0.3">
      <c r="A298" s="5"/>
      <c r="B298" s="5"/>
      <c r="C298" s="5"/>
    </row>
    <row r="299" spans="1:3" ht="15.75" customHeight="1" x14ac:dyDescent="0.3">
      <c r="A299" s="5"/>
      <c r="B299" s="5"/>
      <c r="C299" s="5"/>
    </row>
    <row r="300" spans="1:3" ht="15.75" customHeight="1" x14ac:dyDescent="0.3">
      <c r="A300" s="5"/>
      <c r="B300" s="5"/>
      <c r="C300" s="5"/>
    </row>
    <row r="301" spans="1:3" ht="15.75" customHeight="1" x14ac:dyDescent="0.3">
      <c r="A301" s="5"/>
      <c r="B301" s="5"/>
      <c r="C301" s="5"/>
    </row>
    <row r="302" spans="1:3" ht="15.75" customHeight="1" x14ac:dyDescent="0.3">
      <c r="A302" s="5"/>
      <c r="B302" s="5"/>
      <c r="C302" s="5"/>
    </row>
    <row r="303" spans="1:3" ht="15.75" customHeight="1" x14ac:dyDescent="0.3">
      <c r="A303" s="5"/>
      <c r="B303" s="5"/>
      <c r="C303" s="5"/>
    </row>
    <row r="304" spans="1:3" ht="15.75" customHeight="1" x14ac:dyDescent="0.3">
      <c r="A304" s="5"/>
      <c r="B304" s="5"/>
      <c r="C304" s="5"/>
    </row>
    <row r="305" spans="1:3" ht="15.75" customHeight="1" x14ac:dyDescent="0.3">
      <c r="A305" s="5"/>
      <c r="B305" s="5"/>
      <c r="C305" s="5"/>
    </row>
    <row r="306" spans="1:3" ht="15.75" customHeight="1" x14ac:dyDescent="0.3">
      <c r="A306" s="5"/>
      <c r="B306" s="5"/>
      <c r="C306" s="5"/>
    </row>
    <row r="307" spans="1:3" ht="15.75" customHeight="1" x14ac:dyDescent="0.3">
      <c r="A307" s="5"/>
      <c r="B307" s="5"/>
      <c r="C307" s="5"/>
    </row>
    <row r="308" spans="1:3" ht="15.75" customHeight="1" x14ac:dyDescent="0.3">
      <c r="A308" s="5"/>
      <c r="B308" s="5"/>
      <c r="C308" s="5"/>
    </row>
    <row r="309" spans="1:3" ht="15.75" customHeight="1" x14ac:dyDescent="0.3">
      <c r="A309" s="5"/>
      <c r="B309" s="5"/>
      <c r="C309" s="5"/>
    </row>
    <row r="310" spans="1:3" ht="15.75" customHeight="1" x14ac:dyDescent="0.3">
      <c r="A310" s="5"/>
      <c r="B310" s="5"/>
      <c r="C310" s="5"/>
    </row>
    <row r="311" spans="1:3" ht="15.75" customHeight="1" x14ac:dyDescent="0.3">
      <c r="A311" s="5"/>
      <c r="B311" s="5"/>
      <c r="C311" s="5"/>
    </row>
    <row r="312" spans="1:3" ht="15.75" customHeight="1" x14ac:dyDescent="0.3">
      <c r="A312" s="5"/>
      <c r="B312" s="5"/>
      <c r="C312" s="5"/>
    </row>
    <row r="313" spans="1:3" ht="15.75" customHeight="1" x14ac:dyDescent="0.3">
      <c r="A313" s="5"/>
      <c r="B313" s="5"/>
      <c r="C313" s="5"/>
    </row>
    <row r="314" spans="1:3" ht="15.75" customHeight="1" x14ac:dyDescent="0.3">
      <c r="A314" s="5"/>
      <c r="B314" s="5"/>
      <c r="C314" s="5"/>
    </row>
    <row r="315" spans="1:3" ht="15.75" customHeight="1" x14ac:dyDescent="0.3">
      <c r="A315" s="5"/>
      <c r="B315" s="5"/>
      <c r="C315" s="5"/>
    </row>
    <row r="316" spans="1:3" ht="15.75" customHeight="1" x14ac:dyDescent="0.3">
      <c r="A316" s="5"/>
      <c r="B316" s="5"/>
      <c r="C316" s="5"/>
    </row>
    <row r="317" spans="1:3" ht="15.75" customHeight="1" x14ac:dyDescent="0.3">
      <c r="A317" s="5"/>
      <c r="B317" s="5"/>
      <c r="C317" s="5"/>
    </row>
    <row r="318" spans="1:3" ht="15.75" customHeight="1" x14ac:dyDescent="0.3">
      <c r="A318" s="5"/>
      <c r="B318" s="5"/>
      <c r="C318" s="5"/>
    </row>
    <row r="319" spans="1:3" ht="15.75" customHeight="1" x14ac:dyDescent="0.3">
      <c r="A319" s="5"/>
      <c r="B319" s="5"/>
      <c r="C319" s="5"/>
    </row>
    <row r="320" spans="1:3" ht="15.75" customHeight="1" x14ac:dyDescent="0.3">
      <c r="A320" s="5"/>
      <c r="B320" s="5"/>
      <c r="C320" s="5"/>
    </row>
    <row r="321" spans="1:3" ht="15.75" customHeight="1" x14ac:dyDescent="0.3">
      <c r="A321" s="5"/>
      <c r="B321" s="5"/>
      <c r="C321" s="5"/>
    </row>
    <row r="322" spans="1:3" ht="15.75" customHeight="1" x14ac:dyDescent="0.3">
      <c r="A322" s="5"/>
      <c r="B322" s="5"/>
      <c r="C322" s="5"/>
    </row>
    <row r="323" spans="1:3" ht="15.75" customHeight="1" x14ac:dyDescent="0.3">
      <c r="A323" s="5"/>
      <c r="B323" s="5"/>
      <c r="C323" s="5"/>
    </row>
    <row r="324" spans="1:3" ht="15.75" customHeight="1" x14ac:dyDescent="0.3">
      <c r="A324" s="5"/>
      <c r="B324" s="5"/>
      <c r="C324" s="5"/>
    </row>
    <row r="325" spans="1:3" ht="15.75" customHeight="1" x14ac:dyDescent="0.3">
      <c r="A325" s="5"/>
      <c r="B325" s="5"/>
      <c r="C325" s="5"/>
    </row>
    <row r="326" spans="1:3" ht="15.75" customHeight="1" x14ac:dyDescent="0.3">
      <c r="A326" s="5"/>
      <c r="B326" s="5"/>
      <c r="C326" s="5"/>
    </row>
    <row r="327" spans="1:3" ht="15.75" customHeight="1" x14ac:dyDescent="0.3">
      <c r="A327" s="5"/>
      <c r="B327" s="5"/>
      <c r="C327" s="5"/>
    </row>
    <row r="328" spans="1:3" ht="15.75" customHeight="1" x14ac:dyDescent="0.3">
      <c r="A328" s="5"/>
      <c r="B328" s="5"/>
      <c r="C328" s="5"/>
    </row>
    <row r="329" spans="1:3" ht="15.75" customHeight="1" x14ac:dyDescent="0.3">
      <c r="A329" s="5"/>
      <c r="B329" s="5"/>
      <c r="C329" s="5"/>
    </row>
    <row r="330" spans="1:3" ht="15.75" customHeight="1" x14ac:dyDescent="0.3">
      <c r="A330" s="5"/>
      <c r="B330" s="5"/>
      <c r="C330" s="5"/>
    </row>
    <row r="331" spans="1:3" ht="15.75" customHeight="1" x14ac:dyDescent="0.3">
      <c r="A331" s="5"/>
      <c r="B331" s="5"/>
      <c r="C331" s="5"/>
    </row>
    <row r="332" spans="1:3" ht="15.75" customHeight="1" x14ac:dyDescent="0.3">
      <c r="A332" s="5"/>
      <c r="B332" s="5"/>
      <c r="C332" s="5"/>
    </row>
    <row r="333" spans="1:3" ht="15.75" customHeight="1" x14ac:dyDescent="0.3">
      <c r="A333" s="5"/>
      <c r="B333" s="5"/>
      <c r="C333" s="5"/>
    </row>
    <row r="334" spans="1:3" ht="15.75" customHeight="1" x14ac:dyDescent="0.3">
      <c r="A334" s="5"/>
      <c r="B334" s="5"/>
      <c r="C334" s="5"/>
    </row>
    <row r="335" spans="1:3" ht="15.75" customHeight="1" x14ac:dyDescent="0.3">
      <c r="A335" s="5"/>
      <c r="B335" s="5"/>
      <c r="C335" s="5"/>
    </row>
    <row r="336" spans="1:3" ht="15.75" customHeight="1" x14ac:dyDescent="0.3">
      <c r="A336" s="5"/>
      <c r="B336" s="5"/>
      <c r="C336" s="5"/>
    </row>
    <row r="337" spans="1:3" ht="15.75" customHeight="1" x14ac:dyDescent="0.3">
      <c r="A337" s="5"/>
      <c r="B337" s="5"/>
      <c r="C337" s="5"/>
    </row>
    <row r="338" spans="1:3" ht="15.75" customHeight="1" x14ac:dyDescent="0.3">
      <c r="A338" s="5"/>
      <c r="B338" s="5"/>
      <c r="C338" s="5"/>
    </row>
    <row r="339" spans="1:3" ht="15.75" customHeight="1" x14ac:dyDescent="0.3">
      <c r="A339" s="5"/>
      <c r="B339" s="5"/>
      <c r="C339" s="5"/>
    </row>
    <row r="340" spans="1:3" ht="15.75" customHeight="1" x14ac:dyDescent="0.3">
      <c r="A340" s="5"/>
      <c r="B340" s="5"/>
      <c r="C340" s="5"/>
    </row>
    <row r="341" spans="1:3" ht="15.75" customHeight="1" x14ac:dyDescent="0.3">
      <c r="A341" s="5"/>
      <c r="B341" s="5"/>
      <c r="C341" s="5"/>
    </row>
    <row r="342" spans="1:3" ht="15.75" customHeight="1" x14ac:dyDescent="0.3">
      <c r="A342" s="5"/>
      <c r="B342" s="5"/>
      <c r="C342" s="5"/>
    </row>
    <row r="343" spans="1:3" ht="15.75" customHeight="1" x14ac:dyDescent="0.3">
      <c r="A343" s="5"/>
      <c r="B343" s="5"/>
      <c r="C343" s="5"/>
    </row>
    <row r="344" spans="1:3" ht="15.75" customHeight="1" x14ac:dyDescent="0.3">
      <c r="A344" s="5"/>
      <c r="B344" s="5"/>
      <c r="C344" s="5"/>
    </row>
    <row r="345" spans="1:3" ht="15.75" customHeight="1" x14ac:dyDescent="0.3">
      <c r="A345" s="5"/>
      <c r="B345" s="5"/>
      <c r="C345" s="5"/>
    </row>
    <row r="346" spans="1:3" ht="15.75" customHeight="1" x14ac:dyDescent="0.3">
      <c r="A346" s="5"/>
      <c r="B346" s="5"/>
      <c r="C346" s="5"/>
    </row>
    <row r="347" spans="1:3" ht="15.75" customHeight="1" x14ac:dyDescent="0.3">
      <c r="A347" s="5"/>
      <c r="B347" s="5"/>
      <c r="C347" s="5"/>
    </row>
    <row r="348" spans="1:3" ht="15.75" customHeight="1" x14ac:dyDescent="0.3">
      <c r="A348" s="5"/>
      <c r="B348" s="5"/>
      <c r="C348" s="5"/>
    </row>
    <row r="349" spans="1:3" ht="15.75" customHeight="1" x14ac:dyDescent="0.3">
      <c r="A349" s="5"/>
      <c r="B349" s="5"/>
      <c r="C349" s="5"/>
    </row>
    <row r="350" spans="1:3" ht="15.75" customHeight="1" x14ac:dyDescent="0.3">
      <c r="A350" s="5"/>
      <c r="B350" s="5"/>
      <c r="C350" s="5"/>
    </row>
    <row r="351" spans="1:3" ht="15.75" customHeight="1" x14ac:dyDescent="0.3">
      <c r="A351" s="5"/>
      <c r="B351" s="5"/>
      <c r="C351" s="5"/>
    </row>
    <row r="352" spans="1:3" ht="15.75" customHeight="1" x14ac:dyDescent="0.3">
      <c r="A352" s="5"/>
      <c r="B352" s="5"/>
      <c r="C352" s="5"/>
    </row>
    <row r="353" spans="1:3" ht="15.75" customHeight="1" x14ac:dyDescent="0.3">
      <c r="A353" s="5"/>
      <c r="B353" s="5"/>
      <c r="C353" s="5"/>
    </row>
    <row r="354" spans="1:3" ht="15.75" customHeight="1" x14ac:dyDescent="0.3">
      <c r="A354" s="5"/>
      <c r="B354" s="5"/>
      <c r="C354" s="5"/>
    </row>
    <row r="355" spans="1:3" ht="15.75" customHeight="1" x14ac:dyDescent="0.3">
      <c r="A355" s="5"/>
      <c r="B355" s="5"/>
      <c r="C355" s="5"/>
    </row>
    <row r="356" spans="1:3" ht="15.75" customHeight="1" x14ac:dyDescent="0.3">
      <c r="A356" s="5"/>
      <c r="B356" s="5"/>
      <c r="C356" s="5"/>
    </row>
    <row r="357" spans="1:3" ht="15.75" customHeight="1" x14ac:dyDescent="0.3">
      <c r="A357" s="5"/>
      <c r="B357" s="5"/>
      <c r="C357" s="5"/>
    </row>
    <row r="358" spans="1:3" ht="15.75" customHeight="1" x14ac:dyDescent="0.3">
      <c r="A358" s="5"/>
      <c r="B358" s="5"/>
      <c r="C358" s="5"/>
    </row>
    <row r="359" spans="1:3" ht="15.75" customHeight="1" x14ac:dyDescent="0.3">
      <c r="A359" s="5"/>
      <c r="B359" s="5"/>
      <c r="C359" s="5"/>
    </row>
    <row r="360" spans="1:3" ht="15.75" customHeight="1" x14ac:dyDescent="0.3">
      <c r="A360" s="5"/>
      <c r="B360" s="5"/>
      <c r="C360" s="5"/>
    </row>
    <row r="361" spans="1:3" ht="15.75" customHeight="1" x14ac:dyDescent="0.3">
      <c r="A361" s="5"/>
      <c r="B361" s="5"/>
      <c r="C361" s="5"/>
    </row>
    <row r="362" spans="1:3" ht="15.75" customHeight="1" x14ac:dyDescent="0.3">
      <c r="A362" s="5"/>
      <c r="B362" s="5"/>
      <c r="C362" s="5"/>
    </row>
    <row r="363" spans="1:3" ht="15.75" customHeight="1" x14ac:dyDescent="0.3">
      <c r="A363" s="5"/>
      <c r="B363" s="5"/>
      <c r="C363" s="5"/>
    </row>
    <row r="364" spans="1:3" ht="15.75" customHeight="1" x14ac:dyDescent="0.3">
      <c r="A364" s="5"/>
      <c r="B364" s="5"/>
      <c r="C364" s="5"/>
    </row>
    <row r="365" spans="1:3" ht="15.75" customHeight="1" x14ac:dyDescent="0.3">
      <c r="A365" s="5"/>
      <c r="B365" s="5"/>
      <c r="C365" s="5"/>
    </row>
    <row r="366" spans="1:3" ht="15.75" customHeight="1" x14ac:dyDescent="0.3">
      <c r="A366" s="5"/>
      <c r="B366" s="5"/>
      <c r="C366" s="5"/>
    </row>
    <row r="367" spans="1:3" ht="15.75" customHeight="1" x14ac:dyDescent="0.3">
      <c r="A367" s="5"/>
      <c r="B367" s="5"/>
      <c r="C367" s="5"/>
    </row>
    <row r="368" spans="1:3" ht="15.75" customHeight="1" x14ac:dyDescent="0.3">
      <c r="A368" s="5"/>
      <c r="B368" s="5"/>
      <c r="C368" s="5"/>
    </row>
    <row r="369" spans="1:3" ht="15.75" customHeight="1" x14ac:dyDescent="0.3">
      <c r="A369" s="5"/>
      <c r="B369" s="5"/>
      <c r="C369" s="5"/>
    </row>
    <row r="370" spans="1:3" ht="15.75" customHeight="1" x14ac:dyDescent="0.3">
      <c r="A370" s="5"/>
      <c r="B370" s="5"/>
      <c r="C370" s="5"/>
    </row>
    <row r="371" spans="1:3" ht="15.75" customHeight="1" x14ac:dyDescent="0.3">
      <c r="A371" s="5"/>
      <c r="B371" s="5"/>
      <c r="C371" s="5"/>
    </row>
    <row r="372" spans="1:3" ht="15.75" customHeight="1" x14ac:dyDescent="0.3">
      <c r="A372" s="5"/>
      <c r="B372" s="5"/>
      <c r="C372" s="5"/>
    </row>
    <row r="373" spans="1:3" ht="15.75" customHeight="1" x14ac:dyDescent="0.3">
      <c r="A373" s="5"/>
      <c r="B373" s="5"/>
      <c r="C373" s="5"/>
    </row>
    <row r="374" spans="1:3" ht="15.75" customHeight="1" x14ac:dyDescent="0.3">
      <c r="A374" s="5"/>
      <c r="B374" s="5"/>
      <c r="C374" s="5"/>
    </row>
    <row r="375" spans="1:3" ht="15.75" customHeight="1" x14ac:dyDescent="0.3">
      <c r="A375" s="5"/>
      <c r="B375" s="5"/>
      <c r="C375" s="5"/>
    </row>
    <row r="376" spans="1:3" ht="15.75" customHeight="1" x14ac:dyDescent="0.3">
      <c r="A376" s="5"/>
      <c r="B376" s="5"/>
      <c r="C376" s="5"/>
    </row>
    <row r="377" spans="1:3" ht="15.75" customHeight="1" x14ac:dyDescent="0.3">
      <c r="A377" s="5"/>
      <c r="B377" s="5"/>
      <c r="C377" s="5"/>
    </row>
    <row r="378" spans="1:3" ht="15.75" customHeight="1" x14ac:dyDescent="0.3">
      <c r="A378" s="5"/>
      <c r="B378" s="5"/>
      <c r="C378" s="5"/>
    </row>
    <row r="379" spans="1:3" ht="15.75" customHeight="1" x14ac:dyDescent="0.3">
      <c r="A379" s="5"/>
      <c r="B379" s="5"/>
      <c r="C379" s="5"/>
    </row>
    <row r="380" spans="1:3" ht="15.75" customHeight="1" x14ac:dyDescent="0.3">
      <c r="A380" s="5"/>
      <c r="B380" s="5"/>
      <c r="C380" s="5"/>
    </row>
    <row r="381" spans="1:3" ht="15.75" customHeight="1" x14ac:dyDescent="0.3">
      <c r="A381" s="5"/>
      <c r="B381" s="5"/>
      <c r="C381" s="5"/>
    </row>
    <row r="382" spans="1:3" ht="15.75" customHeight="1" x14ac:dyDescent="0.3">
      <c r="A382" s="5"/>
      <c r="B382" s="5"/>
      <c r="C382" s="5"/>
    </row>
    <row r="383" spans="1:3" ht="15.75" customHeight="1" x14ac:dyDescent="0.3">
      <c r="A383" s="5"/>
      <c r="B383" s="5"/>
      <c r="C383" s="5"/>
    </row>
    <row r="384" spans="1:3" ht="15.75" customHeight="1" x14ac:dyDescent="0.3">
      <c r="A384" s="5"/>
      <c r="B384" s="5"/>
      <c r="C384" s="5"/>
    </row>
    <row r="385" spans="1:3" ht="15.75" customHeight="1" x14ac:dyDescent="0.3">
      <c r="A385" s="5"/>
      <c r="B385" s="5"/>
      <c r="C385" s="5"/>
    </row>
    <row r="386" spans="1:3" ht="15.75" customHeight="1" x14ac:dyDescent="0.3">
      <c r="A386" s="5"/>
      <c r="B386" s="5"/>
      <c r="C386" s="5"/>
    </row>
    <row r="387" spans="1:3" ht="15.75" customHeight="1" x14ac:dyDescent="0.3">
      <c r="A387" s="5"/>
      <c r="B387" s="5"/>
      <c r="C387" s="5"/>
    </row>
    <row r="388" spans="1:3" ht="15.75" customHeight="1" x14ac:dyDescent="0.3">
      <c r="A388" s="5"/>
      <c r="B388" s="5"/>
      <c r="C388" s="5"/>
    </row>
    <row r="389" spans="1:3" ht="15.75" customHeight="1" x14ac:dyDescent="0.3">
      <c r="A389" s="5"/>
      <c r="B389" s="5"/>
      <c r="C389" s="5"/>
    </row>
    <row r="390" spans="1:3" ht="15.75" customHeight="1" x14ac:dyDescent="0.3">
      <c r="A390" s="5"/>
      <c r="B390" s="5"/>
      <c r="C390" s="5"/>
    </row>
    <row r="391" spans="1:3" ht="15.75" customHeight="1" x14ac:dyDescent="0.3">
      <c r="A391" s="5"/>
      <c r="B391" s="5"/>
      <c r="C391" s="5"/>
    </row>
    <row r="392" spans="1:3" ht="15.75" customHeight="1" x14ac:dyDescent="0.3">
      <c r="A392" s="5"/>
      <c r="B392" s="5"/>
      <c r="C392" s="5"/>
    </row>
    <row r="393" spans="1:3" ht="15.75" customHeight="1" x14ac:dyDescent="0.3">
      <c r="A393" s="5"/>
      <c r="B393" s="5"/>
      <c r="C393" s="5"/>
    </row>
    <row r="394" spans="1:3" ht="15.75" customHeight="1" x14ac:dyDescent="0.3">
      <c r="A394" s="5"/>
      <c r="B394" s="5"/>
      <c r="C394" s="5"/>
    </row>
    <row r="395" spans="1:3" ht="15.75" customHeight="1" x14ac:dyDescent="0.3">
      <c r="A395" s="5"/>
      <c r="B395" s="5"/>
      <c r="C395" s="5"/>
    </row>
    <row r="396" spans="1:3" ht="15.75" customHeight="1" x14ac:dyDescent="0.3">
      <c r="A396" s="5"/>
      <c r="B396" s="5"/>
      <c r="C396" s="5"/>
    </row>
    <row r="397" spans="1:3" ht="15.75" customHeight="1" x14ac:dyDescent="0.3">
      <c r="A397" s="5"/>
      <c r="B397" s="5"/>
      <c r="C397" s="5"/>
    </row>
    <row r="398" spans="1:3" ht="15.75" customHeight="1" x14ac:dyDescent="0.3">
      <c r="A398" s="5"/>
      <c r="B398" s="5"/>
      <c r="C398" s="5"/>
    </row>
    <row r="399" spans="1:3" ht="15.75" customHeight="1" x14ac:dyDescent="0.3">
      <c r="A399" s="5"/>
      <c r="B399" s="5"/>
      <c r="C399" s="5"/>
    </row>
    <row r="400" spans="1:3" ht="15.75" customHeight="1" x14ac:dyDescent="0.3">
      <c r="A400" s="5"/>
      <c r="B400" s="5"/>
      <c r="C400" s="5"/>
    </row>
    <row r="401" spans="1:3" ht="15.75" customHeight="1" x14ac:dyDescent="0.3">
      <c r="A401" s="5"/>
      <c r="B401" s="5"/>
      <c r="C401" s="5"/>
    </row>
    <row r="402" spans="1:3" ht="15.75" customHeight="1" x14ac:dyDescent="0.3">
      <c r="A402" s="5"/>
      <c r="B402" s="5"/>
      <c r="C402" s="5"/>
    </row>
    <row r="403" spans="1:3" ht="15.75" customHeight="1" x14ac:dyDescent="0.3">
      <c r="A403" s="5"/>
      <c r="B403" s="5"/>
      <c r="C403" s="5"/>
    </row>
    <row r="404" spans="1:3" ht="15.75" customHeight="1" x14ac:dyDescent="0.3">
      <c r="A404" s="5"/>
      <c r="B404" s="5"/>
      <c r="C404" s="5"/>
    </row>
    <row r="405" spans="1:3" ht="15.75" customHeight="1" x14ac:dyDescent="0.3">
      <c r="A405" s="5"/>
      <c r="B405" s="5"/>
      <c r="C405" s="5"/>
    </row>
    <row r="406" spans="1:3" ht="15.75" customHeight="1" x14ac:dyDescent="0.3">
      <c r="A406" s="5"/>
      <c r="B406" s="5"/>
      <c r="C406" s="5"/>
    </row>
    <row r="407" spans="1:3" ht="15.75" customHeight="1" x14ac:dyDescent="0.3">
      <c r="A407" s="5"/>
      <c r="B407" s="5"/>
      <c r="C407" s="5"/>
    </row>
    <row r="408" spans="1:3" ht="15.75" customHeight="1" x14ac:dyDescent="0.3">
      <c r="A408" s="5"/>
      <c r="B408" s="5"/>
      <c r="C408" s="5"/>
    </row>
    <row r="409" spans="1:3" ht="15.75" customHeight="1" x14ac:dyDescent="0.3">
      <c r="A409" s="5"/>
      <c r="B409" s="5"/>
      <c r="C409" s="5"/>
    </row>
    <row r="410" spans="1:3" ht="15.75" customHeight="1" x14ac:dyDescent="0.3">
      <c r="A410" s="5"/>
      <c r="B410" s="5"/>
      <c r="C410" s="5"/>
    </row>
    <row r="411" spans="1:3" ht="15.75" customHeight="1" x14ac:dyDescent="0.3">
      <c r="A411" s="5"/>
      <c r="B411" s="5"/>
      <c r="C411" s="5"/>
    </row>
    <row r="412" spans="1:3" ht="15.75" customHeight="1" x14ac:dyDescent="0.3">
      <c r="A412" s="5"/>
      <c r="B412" s="5"/>
      <c r="C412" s="5"/>
    </row>
    <row r="413" spans="1:3" ht="15.75" customHeight="1" x14ac:dyDescent="0.3">
      <c r="A413" s="5"/>
      <c r="B413" s="5"/>
      <c r="C413" s="5"/>
    </row>
    <row r="414" spans="1:3" ht="15.75" customHeight="1" x14ac:dyDescent="0.3">
      <c r="A414" s="5"/>
      <c r="B414" s="5"/>
      <c r="C414" s="5"/>
    </row>
    <row r="415" spans="1:3" ht="15.75" customHeight="1" x14ac:dyDescent="0.3">
      <c r="A415" s="5"/>
      <c r="B415" s="5"/>
      <c r="C415" s="5"/>
    </row>
    <row r="416" spans="1:3" ht="15.75" customHeight="1" x14ac:dyDescent="0.3">
      <c r="A416" s="5"/>
      <c r="B416" s="5"/>
      <c r="C416" s="5"/>
    </row>
    <row r="417" spans="1:3" ht="15.75" customHeight="1" x14ac:dyDescent="0.3">
      <c r="A417" s="5"/>
      <c r="B417" s="5"/>
      <c r="C417" s="5"/>
    </row>
    <row r="418" spans="1:3" ht="15.75" customHeight="1" x14ac:dyDescent="0.3">
      <c r="A418" s="5"/>
      <c r="B418" s="5"/>
      <c r="C418" s="5"/>
    </row>
    <row r="419" spans="1:3" ht="15.75" customHeight="1" x14ac:dyDescent="0.3">
      <c r="A419" s="5"/>
      <c r="B419" s="5"/>
      <c r="C419" s="5"/>
    </row>
    <row r="420" spans="1:3" ht="15.75" customHeight="1" x14ac:dyDescent="0.3">
      <c r="A420" s="5"/>
      <c r="B420" s="5"/>
      <c r="C420" s="5"/>
    </row>
    <row r="421" spans="1:3" ht="15.75" customHeight="1" x14ac:dyDescent="0.3">
      <c r="A421" s="5"/>
      <c r="B421" s="5"/>
      <c r="C421" s="5"/>
    </row>
    <row r="422" spans="1:3" ht="15.75" customHeight="1" x14ac:dyDescent="0.3">
      <c r="A422" s="5"/>
      <c r="B422" s="5"/>
      <c r="C422" s="5"/>
    </row>
    <row r="423" spans="1:3" ht="15.75" customHeight="1" x14ac:dyDescent="0.3">
      <c r="A423" s="5"/>
      <c r="B423" s="5"/>
      <c r="C423" s="5"/>
    </row>
    <row r="424" spans="1:3" ht="15.75" customHeight="1" x14ac:dyDescent="0.3">
      <c r="A424" s="5"/>
      <c r="B424" s="5"/>
      <c r="C424" s="5"/>
    </row>
    <row r="425" spans="1:3" ht="15.75" customHeight="1" x14ac:dyDescent="0.3">
      <c r="A425" s="5"/>
      <c r="B425" s="5"/>
      <c r="C425" s="5"/>
    </row>
    <row r="426" spans="1:3" ht="15.75" customHeight="1" x14ac:dyDescent="0.3">
      <c r="A426" s="5"/>
      <c r="B426" s="5"/>
      <c r="C426" s="5"/>
    </row>
    <row r="427" spans="1:3" ht="15.75" customHeight="1" x14ac:dyDescent="0.3">
      <c r="A427" s="5"/>
      <c r="B427" s="5"/>
      <c r="C427" s="5"/>
    </row>
    <row r="428" spans="1:3" ht="15.75" customHeight="1" x14ac:dyDescent="0.3">
      <c r="A428" s="5"/>
      <c r="B428" s="5"/>
      <c r="C428" s="5"/>
    </row>
    <row r="429" spans="1:3" ht="15.75" customHeight="1" x14ac:dyDescent="0.3">
      <c r="A429" s="5"/>
      <c r="B429" s="5"/>
      <c r="C429" s="5"/>
    </row>
    <row r="430" spans="1:3" ht="15.75" customHeight="1" x14ac:dyDescent="0.3">
      <c r="A430" s="5"/>
      <c r="B430" s="5"/>
      <c r="C430" s="5"/>
    </row>
    <row r="431" spans="1:3" ht="15.75" customHeight="1" x14ac:dyDescent="0.3">
      <c r="A431" s="5"/>
      <c r="B431" s="5"/>
      <c r="C431" s="5"/>
    </row>
    <row r="432" spans="1:3" ht="15.75" customHeight="1" x14ac:dyDescent="0.3">
      <c r="A432" s="5"/>
      <c r="B432" s="5"/>
      <c r="C432" s="5"/>
    </row>
    <row r="433" spans="1:3" ht="15.75" customHeight="1" x14ac:dyDescent="0.3">
      <c r="A433" s="5"/>
      <c r="B433" s="5"/>
      <c r="C433" s="5"/>
    </row>
    <row r="434" spans="1:3" ht="15.75" customHeight="1" x14ac:dyDescent="0.3">
      <c r="A434" s="5"/>
      <c r="B434" s="5"/>
      <c r="C434" s="5"/>
    </row>
    <row r="435" spans="1:3" ht="15.75" customHeight="1" x14ac:dyDescent="0.3">
      <c r="A435" s="5"/>
      <c r="B435" s="5"/>
      <c r="C435" s="5"/>
    </row>
    <row r="436" spans="1:3" ht="15.75" customHeight="1" x14ac:dyDescent="0.3">
      <c r="A436" s="5"/>
      <c r="B436" s="5"/>
      <c r="C436" s="5"/>
    </row>
    <row r="437" spans="1:3" ht="15.75" customHeight="1" x14ac:dyDescent="0.3">
      <c r="A437" s="5"/>
      <c r="B437" s="5"/>
      <c r="C437" s="5"/>
    </row>
    <row r="438" spans="1:3" ht="15.75" customHeight="1" x14ac:dyDescent="0.3">
      <c r="A438" s="5"/>
      <c r="B438" s="5"/>
      <c r="C438" s="5"/>
    </row>
    <row r="439" spans="1:3" ht="15.75" customHeight="1" x14ac:dyDescent="0.3">
      <c r="A439" s="5"/>
      <c r="B439" s="5"/>
      <c r="C439" s="5"/>
    </row>
    <row r="440" spans="1:3" ht="15.75" customHeight="1" x14ac:dyDescent="0.3">
      <c r="A440" s="5"/>
      <c r="B440" s="5"/>
      <c r="C440" s="5"/>
    </row>
    <row r="441" spans="1:3" ht="15.75" customHeight="1" x14ac:dyDescent="0.3">
      <c r="A441" s="5"/>
      <c r="B441" s="5"/>
      <c r="C441" s="5"/>
    </row>
    <row r="442" spans="1:3" ht="15.75" customHeight="1" x14ac:dyDescent="0.3">
      <c r="A442" s="5"/>
      <c r="B442" s="5"/>
      <c r="C442" s="5"/>
    </row>
    <row r="443" spans="1:3" ht="15.75" customHeight="1" x14ac:dyDescent="0.3">
      <c r="A443" s="5"/>
      <c r="B443" s="5"/>
      <c r="C443" s="5"/>
    </row>
    <row r="444" spans="1:3" ht="15.75" customHeight="1" x14ac:dyDescent="0.3">
      <c r="A444" s="5"/>
      <c r="B444" s="5"/>
      <c r="C444" s="5"/>
    </row>
    <row r="445" spans="1:3" ht="15.75" customHeight="1" x14ac:dyDescent="0.3">
      <c r="A445" s="5"/>
      <c r="B445" s="5"/>
      <c r="C445" s="5"/>
    </row>
    <row r="446" spans="1:3" ht="15.75" customHeight="1" x14ac:dyDescent="0.3">
      <c r="A446" s="5"/>
      <c r="B446" s="5"/>
      <c r="C446" s="5"/>
    </row>
    <row r="447" spans="1:3" ht="15.75" customHeight="1" x14ac:dyDescent="0.3">
      <c r="A447" s="5"/>
      <c r="B447" s="5"/>
      <c r="C447" s="5"/>
    </row>
    <row r="448" spans="1:3" ht="15.75" customHeight="1" x14ac:dyDescent="0.3">
      <c r="A448" s="5"/>
      <c r="B448" s="5"/>
      <c r="C448" s="5"/>
    </row>
    <row r="449" spans="1:3" ht="15.75" customHeight="1" x14ac:dyDescent="0.3">
      <c r="A449" s="5"/>
      <c r="B449" s="5"/>
      <c r="C449" s="5"/>
    </row>
    <row r="450" spans="1:3" ht="15.75" customHeight="1" x14ac:dyDescent="0.3">
      <c r="A450" s="5"/>
      <c r="B450" s="5"/>
      <c r="C450" s="5"/>
    </row>
    <row r="451" spans="1:3" ht="15.75" customHeight="1" x14ac:dyDescent="0.3">
      <c r="A451" s="5"/>
      <c r="B451" s="5"/>
      <c r="C451" s="5"/>
    </row>
    <row r="452" spans="1:3" ht="15.75" customHeight="1" x14ac:dyDescent="0.3">
      <c r="A452" s="5"/>
      <c r="B452" s="5"/>
      <c r="C452" s="5"/>
    </row>
    <row r="453" spans="1:3" ht="15.75" customHeight="1" x14ac:dyDescent="0.3">
      <c r="A453" s="5"/>
      <c r="B453" s="5"/>
      <c r="C453" s="5"/>
    </row>
    <row r="454" spans="1:3" ht="15.75" customHeight="1" x14ac:dyDescent="0.3">
      <c r="A454" s="5"/>
      <c r="B454" s="5"/>
      <c r="C454" s="5"/>
    </row>
    <row r="455" spans="1:3" ht="15.75" customHeight="1" x14ac:dyDescent="0.3">
      <c r="A455" s="5"/>
      <c r="B455" s="5"/>
      <c r="C455" s="5"/>
    </row>
    <row r="456" spans="1:3" ht="15.75" customHeight="1" x14ac:dyDescent="0.3">
      <c r="A456" s="5"/>
      <c r="B456" s="5"/>
      <c r="C456" s="5"/>
    </row>
    <row r="457" spans="1:3" ht="15.75" customHeight="1" x14ac:dyDescent="0.3">
      <c r="A457" s="5"/>
      <c r="B457" s="5"/>
      <c r="C457" s="5"/>
    </row>
    <row r="458" spans="1:3" ht="15.75" customHeight="1" x14ac:dyDescent="0.3">
      <c r="A458" s="5"/>
      <c r="B458" s="5"/>
      <c r="C458" s="5"/>
    </row>
    <row r="459" spans="1:3" ht="15.75" customHeight="1" x14ac:dyDescent="0.3">
      <c r="A459" s="5"/>
      <c r="B459" s="5"/>
      <c r="C459" s="5"/>
    </row>
    <row r="460" spans="1:3" ht="15.75" customHeight="1" x14ac:dyDescent="0.3">
      <c r="A460" s="5"/>
      <c r="B460" s="5"/>
      <c r="C460" s="5"/>
    </row>
    <row r="461" spans="1:3" ht="15.75" customHeight="1" x14ac:dyDescent="0.3">
      <c r="A461" s="5"/>
      <c r="B461" s="5"/>
      <c r="C461" s="5"/>
    </row>
    <row r="462" spans="1:3" ht="15.75" customHeight="1" x14ac:dyDescent="0.3">
      <c r="A462" s="5"/>
      <c r="B462" s="5"/>
      <c r="C462" s="5"/>
    </row>
    <row r="463" spans="1:3" ht="15.75" customHeight="1" x14ac:dyDescent="0.3">
      <c r="A463" s="5"/>
      <c r="B463" s="5"/>
      <c r="C463" s="5"/>
    </row>
    <row r="464" spans="1:3" ht="15.75" customHeight="1" x14ac:dyDescent="0.3">
      <c r="A464" s="5"/>
      <c r="B464" s="5"/>
      <c r="C464" s="5"/>
    </row>
    <row r="465" spans="1:3" ht="15.75" customHeight="1" x14ac:dyDescent="0.3">
      <c r="A465" s="5"/>
      <c r="B465" s="5"/>
      <c r="C465" s="5"/>
    </row>
    <row r="466" spans="1:3" ht="15.75" customHeight="1" x14ac:dyDescent="0.3">
      <c r="A466" s="5"/>
      <c r="B466" s="5"/>
      <c r="C466" s="5"/>
    </row>
    <row r="467" spans="1:3" ht="15.75" customHeight="1" x14ac:dyDescent="0.3">
      <c r="A467" s="5"/>
      <c r="B467" s="5"/>
      <c r="C467" s="5"/>
    </row>
    <row r="468" spans="1:3" ht="15.75" customHeight="1" x14ac:dyDescent="0.3">
      <c r="A468" s="5"/>
      <c r="B468" s="5"/>
      <c r="C468" s="5"/>
    </row>
    <row r="469" spans="1:3" ht="15.75" customHeight="1" x14ac:dyDescent="0.3">
      <c r="A469" s="5"/>
      <c r="B469" s="5"/>
      <c r="C469" s="5"/>
    </row>
    <row r="470" spans="1:3" ht="15.75" customHeight="1" x14ac:dyDescent="0.3">
      <c r="A470" s="5"/>
      <c r="B470" s="5"/>
      <c r="C470" s="5"/>
    </row>
    <row r="471" spans="1:3" ht="15.75" customHeight="1" x14ac:dyDescent="0.3">
      <c r="A471" s="5"/>
      <c r="B471" s="5"/>
      <c r="C471" s="5"/>
    </row>
    <row r="472" spans="1:3" ht="15.75" customHeight="1" x14ac:dyDescent="0.3">
      <c r="A472" s="5"/>
      <c r="B472" s="5"/>
      <c r="C472" s="5"/>
    </row>
    <row r="473" spans="1:3" ht="15.75" customHeight="1" x14ac:dyDescent="0.3">
      <c r="A473" s="5"/>
      <c r="B473" s="5"/>
      <c r="C473" s="5"/>
    </row>
    <row r="474" spans="1:3" ht="15.75" customHeight="1" x14ac:dyDescent="0.3">
      <c r="A474" s="5"/>
      <c r="B474" s="5"/>
      <c r="C474" s="5"/>
    </row>
    <row r="475" spans="1:3" ht="15.75" customHeight="1" x14ac:dyDescent="0.3">
      <c r="A475" s="5"/>
      <c r="B475" s="5"/>
      <c r="C475" s="5"/>
    </row>
    <row r="476" spans="1:3" ht="15.75" customHeight="1" x14ac:dyDescent="0.3">
      <c r="A476" s="5"/>
      <c r="B476" s="5"/>
      <c r="C476" s="5"/>
    </row>
    <row r="477" spans="1:3" ht="15.75" customHeight="1" x14ac:dyDescent="0.3">
      <c r="A477" s="5"/>
      <c r="B477" s="5"/>
      <c r="C477" s="5"/>
    </row>
    <row r="478" spans="1:3" ht="15.75" customHeight="1" x14ac:dyDescent="0.3">
      <c r="A478" s="5"/>
      <c r="B478" s="5"/>
      <c r="C478" s="5"/>
    </row>
    <row r="479" spans="1:3" ht="15.75" customHeight="1" x14ac:dyDescent="0.3">
      <c r="A479" s="5"/>
      <c r="B479" s="5"/>
      <c r="C479" s="5"/>
    </row>
    <row r="480" spans="1:3" ht="15.75" customHeight="1" x14ac:dyDescent="0.3">
      <c r="A480" s="5"/>
      <c r="B480" s="5"/>
      <c r="C480" s="5"/>
    </row>
    <row r="481" spans="1:3" ht="15.75" customHeight="1" x14ac:dyDescent="0.3">
      <c r="A481" s="5"/>
      <c r="B481" s="5"/>
      <c r="C481" s="5"/>
    </row>
    <row r="482" spans="1:3" ht="15.75" customHeight="1" x14ac:dyDescent="0.3">
      <c r="A482" s="5"/>
      <c r="B482" s="5"/>
      <c r="C482" s="5"/>
    </row>
    <row r="483" spans="1:3" ht="15.75" customHeight="1" x14ac:dyDescent="0.3">
      <c r="A483" s="5"/>
      <c r="B483" s="5"/>
      <c r="C483" s="5"/>
    </row>
    <row r="484" spans="1:3" ht="15.75" customHeight="1" x14ac:dyDescent="0.3">
      <c r="A484" s="5"/>
      <c r="B484" s="5"/>
      <c r="C484" s="5"/>
    </row>
    <row r="485" spans="1:3" ht="15.75" customHeight="1" x14ac:dyDescent="0.3">
      <c r="A485" s="5"/>
      <c r="B485" s="5"/>
      <c r="C485" s="5"/>
    </row>
    <row r="486" spans="1:3" ht="15.75" customHeight="1" x14ac:dyDescent="0.3">
      <c r="A486" s="5"/>
      <c r="B486" s="5"/>
      <c r="C486" s="5"/>
    </row>
    <row r="487" spans="1:3" ht="15.75" customHeight="1" x14ac:dyDescent="0.3">
      <c r="A487" s="5"/>
      <c r="B487" s="5"/>
      <c r="C487" s="5"/>
    </row>
    <row r="488" spans="1:3" ht="15.75" customHeight="1" x14ac:dyDescent="0.3">
      <c r="A488" s="5"/>
      <c r="B488" s="5"/>
      <c r="C488" s="5"/>
    </row>
    <row r="489" spans="1:3" ht="15.75" customHeight="1" x14ac:dyDescent="0.3">
      <c r="A489" s="5"/>
      <c r="B489" s="5"/>
      <c r="C489" s="5"/>
    </row>
    <row r="490" spans="1:3" ht="15.75" customHeight="1" x14ac:dyDescent="0.3">
      <c r="A490" s="5"/>
      <c r="B490" s="5"/>
      <c r="C490" s="5"/>
    </row>
    <row r="491" spans="1:3" ht="15.75" customHeight="1" x14ac:dyDescent="0.3">
      <c r="A491" s="5"/>
      <c r="B491" s="5"/>
      <c r="C491" s="5"/>
    </row>
    <row r="492" spans="1:3" ht="15.75" customHeight="1" x14ac:dyDescent="0.3">
      <c r="A492" s="5"/>
      <c r="B492" s="5"/>
      <c r="C492" s="5"/>
    </row>
    <row r="493" spans="1:3" ht="15.75" customHeight="1" x14ac:dyDescent="0.3">
      <c r="A493" s="5"/>
      <c r="B493" s="5"/>
      <c r="C493" s="5"/>
    </row>
    <row r="494" spans="1:3" ht="15.75" customHeight="1" x14ac:dyDescent="0.3">
      <c r="A494" s="5"/>
      <c r="B494" s="5"/>
      <c r="C494" s="5"/>
    </row>
    <row r="495" spans="1:3" ht="15.75" customHeight="1" x14ac:dyDescent="0.3">
      <c r="A495" s="5"/>
      <c r="B495" s="5"/>
      <c r="C495" s="5"/>
    </row>
    <row r="496" spans="1:3" ht="15.75" customHeight="1" x14ac:dyDescent="0.3">
      <c r="A496" s="5"/>
      <c r="B496" s="5"/>
      <c r="C496" s="5"/>
    </row>
    <row r="497" spans="1:3" ht="15.75" customHeight="1" x14ac:dyDescent="0.3">
      <c r="A497" s="5"/>
      <c r="B497" s="5"/>
      <c r="C497" s="5"/>
    </row>
    <row r="498" spans="1:3" ht="15.75" customHeight="1" x14ac:dyDescent="0.3">
      <c r="A498" s="5"/>
      <c r="B498" s="5"/>
      <c r="C498" s="5"/>
    </row>
    <row r="499" spans="1:3" ht="15.75" customHeight="1" x14ac:dyDescent="0.3">
      <c r="A499" s="5"/>
      <c r="B499" s="5"/>
      <c r="C499" s="5"/>
    </row>
    <row r="500" spans="1:3" ht="15.75" customHeight="1" x14ac:dyDescent="0.3">
      <c r="A500" s="5"/>
      <c r="B500" s="5"/>
      <c r="C500" s="5"/>
    </row>
    <row r="501" spans="1:3" ht="15.75" customHeight="1" x14ac:dyDescent="0.3">
      <c r="A501" s="5"/>
      <c r="B501" s="5"/>
      <c r="C501" s="5"/>
    </row>
    <row r="502" spans="1:3" ht="15.75" customHeight="1" x14ac:dyDescent="0.3">
      <c r="A502" s="5"/>
      <c r="B502" s="5"/>
      <c r="C502" s="5"/>
    </row>
    <row r="503" spans="1:3" ht="15.75" customHeight="1" x14ac:dyDescent="0.3">
      <c r="A503" s="5"/>
      <c r="B503" s="5"/>
      <c r="C503" s="5"/>
    </row>
    <row r="504" spans="1:3" ht="15.75" customHeight="1" x14ac:dyDescent="0.3">
      <c r="A504" s="5"/>
      <c r="B504" s="5"/>
      <c r="C504" s="5"/>
    </row>
    <row r="505" spans="1:3" ht="15.75" customHeight="1" x14ac:dyDescent="0.3">
      <c r="A505" s="5"/>
      <c r="B505" s="5"/>
      <c r="C505" s="5"/>
    </row>
    <row r="506" spans="1:3" ht="15.75" customHeight="1" x14ac:dyDescent="0.3">
      <c r="A506" s="5"/>
      <c r="B506" s="5"/>
      <c r="C506" s="5"/>
    </row>
    <row r="507" spans="1:3" ht="15.75" customHeight="1" x14ac:dyDescent="0.3">
      <c r="A507" s="5"/>
      <c r="B507" s="5"/>
      <c r="C507" s="5"/>
    </row>
    <row r="508" spans="1:3" ht="15.75" customHeight="1" x14ac:dyDescent="0.3">
      <c r="A508" s="5"/>
      <c r="B508" s="5"/>
      <c r="C508" s="5"/>
    </row>
    <row r="509" spans="1:3" ht="15.75" customHeight="1" x14ac:dyDescent="0.3">
      <c r="A509" s="5"/>
      <c r="B509" s="5"/>
      <c r="C509" s="5"/>
    </row>
    <row r="510" spans="1:3" ht="15.75" customHeight="1" x14ac:dyDescent="0.3">
      <c r="A510" s="5"/>
      <c r="B510" s="5"/>
      <c r="C510" s="5"/>
    </row>
    <row r="511" spans="1:3" ht="15.75" customHeight="1" x14ac:dyDescent="0.3">
      <c r="A511" s="5"/>
      <c r="B511" s="5"/>
      <c r="C511" s="5"/>
    </row>
    <row r="512" spans="1:3" ht="15.75" customHeight="1" x14ac:dyDescent="0.3">
      <c r="A512" s="5"/>
      <c r="B512" s="5"/>
      <c r="C512" s="5"/>
    </row>
    <row r="513" spans="1:3" ht="15.75" customHeight="1" x14ac:dyDescent="0.3">
      <c r="A513" s="5"/>
      <c r="B513" s="5"/>
      <c r="C513" s="5"/>
    </row>
    <row r="514" spans="1:3" ht="15.75" customHeight="1" x14ac:dyDescent="0.3">
      <c r="A514" s="5"/>
      <c r="B514" s="5"/>
      <c r="C514" s="5"/>
    </row>
    <row r="515" spans="1:3" ht="15.75" customHeight="1" x14ac:dyDescent="0.3">
      <c r="A515" s="5"/>
      <c r="B515" s="5"/>
      <c r="C515" s="5"/>
    </row>
    <row r="516" spans="1:3" ht="15.75" customHeight="1" x14ac:dyDescent="0.3">
      <c r="A516" s="5"/>
      <c r="B516" s="5"/>
      <c r="C516" s="5"/>
    </row>
    <row r="517" spans="1:3" ht="15.75" customHeight="1" x14ac:dyDescent="0.3">
      <c r="A517" s="5"/>
      <c r="B517" s="5"/>
      <c r="C517" s="5"/>
    </row>
    <row r="518" spans="1:3" ht="15.75" customHeight="1" x14ac:dyDescent="0.3">
      <c r="A518" s="5"/>
      <c r="B518" s="5"/>
      <c r="C518" s="5"/>
    </row>
    <row r="519" spans="1:3" ht="15.75" customHeight="1" x14ac:dyDescent="0.3">
      <c r="A519" s="5"/>
      <c r="B519" s="5"/>
      <c r="C519" s="5"/>
    </row>
    <row r="520" spans="1:3" ht="15.75" customHeight="1" x14ac:dyDescent="0.3">
      <c r="A520" s="5"/>
      <c r="B520" s="5"/>
      <c r="C520" s="5"/>
    </row>
    <row r="521" spans="1:3" ht="15.75" customHeight="1" x14ac:dyDescent="0.3">
      <c r="A521" s="5"/>
      <c r="B521" s="5"/>
      <c r="C521" s="5"/>
    </row>
    <row r="522" spans="1:3" ht="15.75" customHeight="1" x14ac:dyDescent="0.3">
      <c r="A522" s="5"/>
      <c r="B522" s="5"/>
      <c r="C522" s="5"/>
    </row>
    <row r="523" spans="1:3" ht="15.75" customHeight="1" x14ac:dyDescent="0.3">
      <c r="A523" s="5"/>
      <c r="B523" s="5"/>
      <c r="C523" s="5"/>
    </row>
    <row r="524" spans="1:3" ht="15.75" customHeight="1" x14ac:dyDescent="0.3">
      <c r="A524" s="5"/>
      <c r="B524" s="5"/>
      <c r="C524" s="5"/>
    </row>
    <row r="525" spans="1:3" ht="15.75" customHeight="1" x14ac:dyDescent="0.3">
      <c r="A525" s="5"/>
      <c r="B525" s="5"/>
      <c r="C525" s="5"/>
    </row>
    <row r="526" spans="1:3" ht="15.75" customHeight="1" x14ac:dyDescent="0.3">
      <c r="A526" s="5"/>
      <c r="B526" s="5"/>
      <c r="C526" s="5"/>
    </row>
    <row r="527" spans="1:3" ht="15.75" customHeight="1" x14ac:dyDescent="0.3">
      <c r="A527" s="5"/>
      <c r="B527" s="5"/>
      <c r="C527" s="5"/>
    </row>
    <row r="528" spans="1:3" ht="15.75" customHeight="1" x14ac:dyDescent="0.3">
      <c r="A528" s="5"/>
      <c r="B528" s="5"/>
      <c r="C528" s="5"/>
    </row>
    <row r="529" spans="1:3" ht="15.75" customHeight="1" x14ac:dyDescent="0.3">
      <c r="A529" s="5"/>
      <c r="B529" s="5"/>
      <c r="C529" s="5"/>
    </row>
    <row r="530" spans="1:3" ht="15.75" customHeight="1" x14ac:dyDescent="0.3">
      <c r="A530" s="5"/>
      <c r="B530" s="5"/>
      <c r="C530" s="5"/>
    </row>
    <row r="531" spans="1:3" ht="15.75" customHeight="1" x14ac:dyDescent="0.3">
      <c r="A531" s="5"/>
      <c r="B531" s="5"/>
      <c r="C531" s="5"/>
    </row>
    <row r="532" spans="1:3" ht="15.75" customHeight="1" x14ac:dyDescent="0.3">
      <c r="A532" s="5"/>
      <c r="B532" s="5"/>
      <c r="C532" s="5"/>
    </row>
    <row r="533" spans="1:3" ht="15.75" customHeight="1" x14ac:dyDescent="0.3">
      <c r="A533" s="5"/>
      <c r="B533" s="5"/>
      <c r="C533" s="5"/>
    </row>
    <row r="534" spans="1:3" ht="15.75" customHeight="1" x14ac:dyDescent="0.3">
      <c r="A534" s="5"/>
      <c r="B534" s="5"/>
      <c r="C534" s="5"/>
    </row>
    <row r="535" spans="1:3" ht="15.75" customHeight="1" x14ac:dyDescent="0.3">
      <c r="A535" s="5"/>
      <c r="B535" s="5"/>
      <c r="C535" s="5"/>
    </row>
    <row r="536" spans="1:3" ht="15.75" customHeight="1" x14ac:dyDescent="0.3">
      <c r="A536" s="5"/>
      <c r="B536" s="5"/>
      <c r="C536" s="5"/>
    </row>
    <row r="537" spans="1:3" ht="15.75" customHeight="1" x14ac:dyDescent="0.3">
      <c r="A537" s="5"/>
      <c r="B537" s="5"/>
      <c r="C537" s="5"/>
    </row>
    <row r="538" spans="1:3" ht="15.75" customHeight="1" x14ac:dyDescent="0.3">
      <c r="A538" s="5"/>
      <c r="B538" s="5"/>
      <c r="C538" s="5"/>
    </row>
    <row r="539" spans="1:3" ht="15.75" customHeight="1" x14ac:dyDescent="0.3">
      <c r="A539" s="5"/>
      <c r="B539" s="5"/>
      <c r="C539" s="5"/>
    </row>
    <row r="540" spans="1:3" ht="15.75" customHeight="1" x14ac:dyDescent="0.3">
      <c r="A540" s="5"/>
      <c r="B540" s="5"/>
      <c r="C540" s="5"/>
    </row>
    <row r="541" spans="1:3" ht="15.75" customHeight="1" x14ac:dyDescent="0.3">
      <c r="A541" s="5"/>
      <c r="B541" s="5"/>
      <c r="C541" s="5"/>
    </row>
    <row r="542" spans="1:3" ht="15.75" customHeight="1" x14ac:dyDescent="0.3">
      <c r="A542" s="5"/>
      <c r="B542" s="5"/>
      <c r="C542" s="5"/>
    </row>
    <row r="543" spans="1:3" ht="15.75" customHeight="1" x14ac:dyDescent="0.3">
      <c r="A543" s="5"/>
      <c r="B543" s="5"/>
      <c r="C543" s="5"/>
    </row>
    <row r="544" spans="1:3" ht="15.75" customHeight="1" x14ac:dyDescent="0.3">
      <c r="A544" s="5"/>
      <c r="B544" s="5"/>
      <c r="C544" s="5"/>
    </row>
    <row r="545" spans="1:3" ht="15.75" customHeight="1" x14ac:dyDescent="0.3">
      <c r="A545" s="5"/>
      <c r="B545" s="5"/>
      <c r="C545" s="5"/>
    </row>
    <row r="546" spans="1:3" ht="15.75" customHeight="1" x14ac:dyDescent="0.3">
      <c r="A546" s="5"/>
      <c r="B546" s="5"/>
      <c r="C546" s="5"/>
    </row>
    <row r="547" spans="1:3" ht="15.75" customHeight="1" x14ac:dyDescent="0.3">
      <c r="A547" s="5"/>
      <c r="B547" s="5"/>
      <c r="C547" s="5"/>
    </row>
    <row r="548" spans="1:3" ht="15.75" customHeight="1" x14ac:dyDescent="0.3">
      <c r="A548" s="5"/>
      <c r="B548" s="5"/>
      <c r="C548" s="5"/>
    </row>
    <row r="549" spans="1:3" ht="15.75" customHeight="1" x14ac:dyDescent="0.3">
      <c r="A549" s="5"/>
      <c r="B549" s="5"/>
      <c r="C549" s="5"/>
    </row>
    <row r="550" spans="1:3" ht="15.75" customHeight="1" x14ac:dyDescent="0.3">
      <c r="A550" s="5"/>
      <c r="B550" s="5"/>
      <c r="C550" s="5"/>
    </row>
    <row r="551" spans="1:3" ht="15.75" customHeight="1" x14ac:dyDescent="0.3">
      <c r="A551" s="5"/>
      <c r="B551" s="5"/>
      <c r="C551" s="5"/>
    </row>
    <row r="552" spans="1:3" ht="15.75" customHeight="1" x14ac:dyDescent="0.3">
      <c r="A552" s="5"/>
      <c r="B552" s="5"/>
      <c r="C552" s="5"/>
    </row>
    <row r="553" spans="1:3" ht="15.75" customHeight="1" x14ac:dyDescent="0.3">
      <c r="A553" s="5"/>
      <c r="B553" s="5"/>
      <c r="C553" s="5"/>
    </row>
    <row r="554" spans="1:3" ht="15.75" customHeight="1" x14ac:dyDescent="0.3">
      <c r="A554" s="5"/>
      <c r="B554" s="5"/>
      <c r="C554" s="5"/>
    </row>
    <row r="555" spans="1:3" ht="15.75" customHeight="1" x14ac:dyDescent="0.3">
      <c r="A555" s="5"/>
      <c r="B555" s="5"/>
      <c r="C555" s="5"/>
    </row>
    <row r="556" spans="1:3" ht="15.75" customHeight="1" x14ac:dyDescent="0.3">
      <c r="A556" s="5"/>
      <c r="B556" s="5"/>
      <c r="C556" s="5"/>
    </row>
    <row r="557" spans="1:3" ht="15.75" customHeight="1" x14ac:dyDescent="0.3">
      <c r="A557" s="5"/>
      <c r="B557" s="5"/>
      <c r="C557" s="5"/>
    </row>
    <row r="558" spans="1:3" ht="15.75" customHeight="1" x14ac:dyDescent="0.3">
      <c r="A558" s="5"/>
      <c r="B558" s="5"/>
      <c r="C558" s="5"/>
    </row>
    <row r="559" spans="1:3" ht="15.75" customHeight="1" x14ac:dyDescent="0.3">
      <c r="A559" s="5"/>
      <c r="B559" s="5"/>
      <c r="C559" s="5"/>
    </row>
    <row r="560" spans="1:3" ht="15.75" customHeight="1" x14ac:dyDescent="0.3">
      <c r="A560" s="5"/>
      <c r="B560" s="5"/>
      <c r="C560" s="5"/>
    </row>
    <row r="561" spans="1:3" ht="15.75" customHeight="1" x14ac:dyDescent="0.3">
      <c r="A561" s="5"/>
      <c r="B561" s="5"/>
      <c r="C561" s="5"/>
    </row>
    <row r="562" spans="1:3" ht="15.75" customHeight="1" x14ac:dyDescent="0.3">
      <c r="A562" s="5"/>
      <c r="B562" s="5"/>
      <c r="C562" s="5"/>
    </row>
    <row r="563" spans="1:3" ht="15.75" customHeight="1" x14ac:dyDescent="0.3">
      <c r="A563" s="5"/>
      <c r="B563" s="5"/>
      <c r="C563" s="5"/>
    </row>
    <row r="564" spans="1:3" ht="15.75" customHeight="1" x14ac:dyDescent="0.3">
      <c r="A564" s="5"/>
      <c r="B564" s="5"/>
      <c r="C564" s="5"/>
    </row>
    <row r="565" spans="1:3" ht="15.75" customHeight="1" x14ac:dyDescent="0.3">
      <c r="A565" s="5"/>
      <c r="B565" s="5"/>
      <c r="C565" s="5"/>
    </row>
    <row r="566" spans="1:3" ht="15.75" customHeight="1" x14ac:dyDescent="0.3">
      <c r="A566" s="5"/>
      <c r="B566" s="5"/>
      <c r="C566" s="5"/>
    </row>
    <row r="567" spans="1:3" ht="15.75" customHeight="1" x14ac:dyDescent="0.3">
      <c r="A567" s="5"/>
      <c r="B567" s="5"/>
      <c r="C567" s="5"/>
    </row>
    <row r="568" spans="1:3" ht="15.75" customHeight="1" x14ac:dyDescent="0.3">
      <c r="A568" s="5"/>
      <c r="B568" s="5"/>
      <c r="C568" s="5"/>
    </row>
    <row r="569" spans="1:3" ht="15.75" customHeight="1" x14ac:dyDescent="0.3">
      <c r="A569" s="5"/>
      <c r="B569" s="5"/>
      <c r="C569" s="5"/>
    </row>
    <row r="570" spans="1:3" ht="15.75" customHeight="1" x14ac:dyDescent="0.3">
      <c r="A570" s="5"/>
      <c r="B570" s="5"/>
      <c r="C570" s="5"/>
    </row>
    <row r="571" spans="1:3" ht="15.75" customHeight="1" x14ac:dyDescent="0.3">
      <c r="A571" s="5"/>
      <c r="B571" s="5"/>
      <c r="C571" s="5"/>
    </row>
    <row r="572" spans="1:3" ht="15.75" customHeight="1" x14ac:dyDescent="0.3">
      <c r="A572" s="5"/>
      <c r="B572" s="5"/>
      <c r="C572" s="5"/>
    </row>
    <row r="573" spans="1:3" ht="15.75" customHeight="1" x14ac:dyDescent="0.3">
      <c r="A573" s="5"/>
      <c r="B573" s="5"/>
      <c r="C573" s="5"/>
    </row>
    <row r="574" spans="1:3" ht="15.75" customHeight="1" x14ac:dyDescent="0.3">
      <c r="A574" s="5"/>
      <c r="B574" s="5"/>
      <c r="C574" s="5"/>
    </row>
    <row r="575" spans="1:3" ht="15.75" customHeight="1" x14ac:dyDescent="0.3">
      <c r="A575" s="5"/>
      <c r="B575" s="5"/>
      <c r="C575" s="5"/>
    </row>
    <row r="576" spans="1:3" ht="15.75" customHeight="1" x14ac:dyDescent="0.3">
      <c r="A576" s="5"/>
      <c r="B576" s="5"/>
      <c r="C576" s="5"/>
    </row>
    <row r="577" spans="1:3" ht="15.75" customHeight="1" x14ac:dyDescent="0.3">
      <c r="A577" s="5"/>
      <c r="B577" s="5"/>
      <c r="C577" s="5"/>
    </row>
    <row r="578" spans="1:3" ht="15.75" customHeight="1" x14ac:dyDescent="0.3">
      <c r="A578" s="5"/>
      <c r="B578" s="5"/>
      <c r="C578" s="5"/>
    </row>
    <row r="579" spans="1:3" ht="15.75" customHeight="1" x14ac:dyDescent="0.3">
      <c r="A579" s="5"/>
      <c r="B579" s="5"/>
      <c r="C579" s="5"/>
    </row>
    <row r="580" spans="1:3" ht="15.75" customHeight="1" x14ac:dyDescent="0.3">
      <c r="A580" s="5"/>
      <c r="B580" s="5"/>
      <c r="C580" s="5"/>
    </row>
    <row r="581" spans="1:3" ht="15.75" customHeight="1" x14ac:dyDescent="0.3">
      <c r="A581" s="5"/>
      <c r="B581" s="5"/>
      <c r="C581" s="5"/>
    </row>
    <row r="582" spans="1:3" ht="15.75" customHeight="1" x14ac:dyDescent="0.3">
      <c r="A582" s="5"/>
      <c r="B582" s="5"/>
      <c r="C582" s="5"/>
    </row>
    <row r="583" spans="1:3" ht="15.75" customHeight="1" x14ac:dyDescent="0.3">
      <c r="A583" s="5"/>
      <c r="B583" s="5"/>
      <c r="C583" s="5"/>
    </row>
    <row r="584" spans="1:3" ht="15.75" customHeight="1" x14ac:dyDescent="0.3">
      <c r="A584" s="5"/>
      <c r="B584" s="5"/>
      <c r="C584" s="5"/>
    </row>
    <row r="585" spans="1:3" ht="15.75" customHeight="1" x14ac:dyDescent="0.3">
      <c r="A585" s="5"/>
      <c r="B585" s="5"/>
      <c r="C585" s="5"/>
    </row>
    <row r="586" spans="1:3" ht="15.75" customHeight="1" x14ac:dyDescent="0.3">
      <c r="A586" s="5"/>
      <c r="B586" s="5"/>
      <c r="C586" s="5"/>
    </row>
    <row r="587" spans="1:3" ht="15.75" customHeight="1" x14ac:dyDescent="0.3">
      <c r="A587" s="5"/>
      <c r="B587" s="5"/>
      <c r="C587" s="5"/>
    </row>
    <row r="588" spans="1:3" ht="15.75" customHeight="1" x14ac:dyDescent="0.3">
      <c r="A588" s="5"/>
      <c r="B588" s="5"/>
      <c r="C588" s="5"/>
    </row>
    <row r="589" spans="1:3" ht="15.75" customHeight="1" x14ac:dyDescent="0.3">
      <c r="A589" s="5"/>
      <c r="B589" s="5"/>
      <c r="C589" s="5"/>
    </row>
    <row r="590" spans="1:3" ht="15.75" customHeight="1" x14ac:dyDescent="0.3">
      <c r="A590" s="5"/>
      <c r="B590" s="5"/>
      <c r="C590" s="5"/>
    </row>
    <row r="591" spans="1:3" ht="15.75" customHeight="1" x14ac:dyDescent="0.3">
      <c r="A591" s="5"/>
      <c r="B591" s="5"/>
      <c r="C591" s="5"/>
    </row>
    <row r="592" spans="1:3" ht="15.75" customHeight="1" x14ac:dyDescent="0.3">
      <c r="A592" s="5"/>
      <c r="B592" s="5"/>
      <c r="C592" s="5"/>
    </row>
    <row r="593" spans="1:3" ht="15.75" customHeight="1" x14ac:dyDescent="0.3">
      <c r="A593" s="5"/>
      <c r="B593" s="5"/>
      <c r="C593" s="5"/>
    </row>
    <row r="594" spans="1:3" ht="15.75" customHeight="1" x14ac:dyDescent="0.3">
      <c r="A594" s="5"/>
      <c r="B594" s="5"/>
      <c r="C594" s="5"/>
    </row>
    <row r="595" spans="1:3" ht="15.75" customHeight="1" x14ac:dyDescent="0.3">
      <c r="A595" s="5"/>
      <c r="B595" s="5"/>
      <c r="C595" s="5"/>
    </row>
    <row r="596" spans="1:3" ht="15.75" customHeight="1" x14ac:dyDescent="0.3">
      <c r="A596" s="5"/>
      <c r="B596" s="5"/>
      <c r="C596" s="5"/>
    </row>
    <row r="597" spans="1:3" ht="15.75" customHeight="1" x14ac:dyDescent="0.3">
      <c r="A597" s="5"/>
      <c r="B597" s="5"/>
      <c r="C597" s="5"/>
    </row>
    <row r="598" spans="1:3" ht="15.75" customHeight="1" x14ac:dyDescent="0.3">
      <c r="A598" s="5"/>
      <c r="B598" s="5"/>
      <c r="C598" s="5"/>
    </row>
    <row r="599" spans="1:3" ht="15.75" customHeight="1" x14ac:dyDescent="0.3">
      <c r="A599" s="5"/>
      <c r="B599" s="5"/>
      <c r="C599" s="5"/>
    </row>
    <row r="600" spans="1:3" ht="15.75" customHeight="1" x14ac:dyDescent="0.3">
      <c r="A600" s="5"/>
      <c r="B600" s="5"/>
      <c r="C600" s="5"/>
    </row>
    <row r="601" spans="1:3" ht="15.75" customHeight="1" x14ac:dyDescent="0.3">
      <c r="A601" s="5"/>
      <c r="B601" s="5"/>
      <c r="C601" s="5"/>
    </row>
    <row r="602" spans="1:3" ht="15.75" customHeight="1" x14ac:dyDescent="0.3">
      <c r="A602" s="5"/>
      <c r="B602" s="5"/>
      <c r="C602" s="5"/>
    </row>
    <row r="603" spans="1:3" ht="15.75" customHeight="1" x14ac:dyDescent="0.3">
      <c r="A603" s="5"/>
      <c r="B603" s="5"/>
      <c r="C603" s="5"/>
    </row>
    <row r="604" spans="1:3" ht="15.75" customHeight="1" x14ac:dyDescent="0.3">
      <c r="A604" s="5"/>
      <c r="B604" s="5"/>
      <c r="C604" s="5"/>
    </row>
    <row r="605" spans="1:3" ht="15.75" customHeight="1" x14ac:dyDescent="0.3">
      <c r="A605" s="5"/>
      <c r="B605" s="5"/>
      <c r="C605" s="5"/>
    </row>
    <row r="606" spans="1:3" ht="15.75" customHeight="1" x14ac:dyDescent="0.3">
      <c r="A606" s="5"/>
      <c r="B606" s="5"/>
      <c r="C606" s="5"/>
    </row>
    <row r="607" spans="1:3" ht="15.75" customHeight="1" x14ac:dyDescent="0.3">
      <c r="A607" s="5"/>
      <c r="B607" s="5"/>
      <c r="C607" s="5"/>
    </row>
    <row r="608" spans="1:3" ht="15.75" customHeight="1" x14ac:dyDescent="0.3">
      <c r="A608" s="5"/>
      <c r="B608" s="5"/>
      <c r="C608" s="5"/>
    </row>
    <row r="609" spans="1:3" ht="15.75" customHeight="1" x14ac:dyDescent="0.3">
      <c r="A609" s="5"/>
      <c r="B609" s="5"/>
      <c r="C609" s="5"/>
    </row>
    <row r="610" spans="1:3" ht="15.75" customHeight="1" x14ac:dyDescent="0.3">
      <c r="A610" s="5"/>
      <c r="B610" s="5"/>
      <c r="C610" s="5"/>
    </row>
    <row r="611" spans="1:3" ht="15.75" customHeight="1" x14ac:dyDescent="0.3">
      <c r="A611" s="5"/>
      <c r="B611" s="5"/>
      <c r="C611" s="5"/>
    </row>
    <row r="612" spans="1:3" ht="15.75" customHeight="1" x14ac:dyDescent="0.3">
      <c r="A612" s="5"/>
      <c r="B612" s="5"/>
      <c r="C612" s="5"/>
    </row>
    <row r="613" spans="1:3" ht="15.75" customHeight="1" x14ac:dyDescent="0.3">
      <c r="A613" s="5"/>
      <c r="B613" s="5"/>
      <c r="C613" s="5"/>
    </row>
    <row r="614" spans="1:3" ht="15.75" customHeight="1" x14ac:dyDescent="0.3">
      <c r="A614" s="5"/>
      <c r="B614" s="5"/>
      <c r="C614" s="5"/>
    </row>
    <row r="615" spans="1:3" ht="15.75" customHeight="1" x14ac:dyDescent="0.3">
      <c r="A615" s="5"/>
      <c r="B615" s="5"/>
      <c r="C615" s="5"/>
    </row>
    <row r="616" spans="1:3" ht="15.75" customHeight="1" x14ac:dyDescent="0.3">
      <c r="A616" s="5"/>
      <c r="B616" s="5"/>
      <c r="C616" s="5"/>
    </row>
    <row r="617" spans="1:3" ht="15.75" customHeight="1" x14ac:dyDescent="0.3">
      <c r="A617" s="5"/>
      <c r="B617" s="5"/>
      <c r="C617" s="5"/>
    </row>
    <row r="618" spans="1:3" ht="15.75" customHeight="1" x14ac:dyDescent="0.3">
      <c r="A618" s="5"/>
      <c r="B618" s="5"/>
      <c r="C618" s="5"/>
    </row>
    <row r="619" spans="1:3" ht="15.75" customHeight="1" x14ac:dyDescent="0.3">
      <c r="A619" s="5"/>
      <c r="B619" s="5"/>
      <c r="C619" s="5"/>
    </row>
    <row r="620" spans="1:3" ht="15.75" customHeight="1" x14ac:dyDescent="0.3">
      <c r="A620" s="5"/>
      <c r="B620" s="5"/>
      <c r="C620" s="5"/>
    </row>
    <row r="621" spans="1:3" ht="15.75" customHeight="1" x14ac:dyDescent="0.3">
      <c r="A621" s="5"/>
      <c r="B621" s="5"/>
      <c r="C621" s="5"/>
    </row>
    <row r="622" spans="1:3" ht="15.75" customHeight="1" x14ac:dyDescent="0.3">
      <c r="A622" s="5"/>
      <c r="B622" s="5"/>
      <c r="C622" s="5"/>
    </row>
    <row r="623" spans="1:3" ht="15.75" customHeight="1" x14ac:dyDescent="0.3">
      <c r="A623" s="5"/>
      <c r="B623" s="5"/>
      <c r="C623" s="5"/>
    </row>
    <row r="624" spans="1:3" ht="15.75" customHeight="1" x14ac:dyDescent="0.3">
      <c r="A624" s="5"/>
      <c r="B624" s="5"/>
      <c r="C624" s="5"/>
    </row>
    <row r="625" spans="1:3" ht="15.75" customHeight="1" x14ac:dyDescent="0.3">
      <c r="A625" s="5"/>
      <c r="B625" s="5"/>
      <c r="C625" s="5"/>
    </row>
    <row r="626" spans="1:3" ht="15.75" customHeight="1" x14ac:dyDescent="0.3">
      <c r="A626" s="5"/>
      <c r="B626" s="5"/>
      <c r="C626" s="5"/>
    </row>
    <row r="627" spans="1:3" ht="15.75" customHeight="1" x14ac:dyDescent="0.3">
      <c r="A627" s="5"/>
      <c r="B627" s="5"/>
      <c r="C627" s="5"/>
    </row>
    <row r="628" spans="1:3" ht="15.75" customHeight="1" x14ac:dyDescent="0.3">
      <c r="A628" s="5"/>
      <c r="B628" s="5"/>
      <c r="C628" s="5"/>
    </row>
    <row r="629" spans="1:3" ht="15.75" customHeight="1" x14ac:dyDescent="0.3">
      <c r="A629" s="5"/>
      <c r="B629" s="5"/>
      <c r="C629" s="5"/>
    </row>
    <row r="630" spans="1:3" ht="15.75" customHeight="1" x14ac:dyDescent="0.3">
      <c r="A630" s="5"/>
      <c r="B630" s="5"/>
      <c r="C630" s="5"/>
    </row>
    <row r="631" spans="1:3" ht="15.75" customHeight="1" x14ac:dyDescent="0.3">
      <c r="A631" s="5"/>
      <c r="B631" s="5"/>
      <c r="C631" s="5"/>
    </row>
    <row r="632" spans="1:3" ht="15.75" customHeight="1" x14ac:dyDescent="0.3">
      <c r="A632" s="5"/>
      <c r="B632" s="5"/>
      <c r="C632" s="5"/>
    </row>
    <row r="633" spans="1:3" ht="15.75" customHeight="1" x14ac:dyDescent="0.3">
      <c r="A633" s="5"/>
      <c r="B633" s="5"/>
      <c r="C633" s="5"/>
    </row>
    <row r="634" spans="1:3" ht="15.75" customHeight="1" x14ac:dyDescent="0.3">
      <c r="A634" s="5"/>
      <c r="B634" s="5"/>
      <c r="C634" s="5"/>
    </row>
    <row r="635" spans="1:3" ht="15.75" customHeight="1" x14ac:dyDescent="0.3">
      <c r="A635" s="5"/>
      <c r="B635" s="5"/>
      <c r="C635" s="5"/>
    </row>
    <row r="636" spans="1:3" ht="15.75" customHeight="1" x14ac:dyDescent="0.3">
      <c r="A636" s="5"/>
      <c r="B636" s="5"/>
      <c r="C636" s="5"/>
    </row>
    <row r="637" spans="1:3" ht="15.75" customHeight="1" x14ac:dyDescent="0.3">
      <c r="A637" s="5"/>
      <c r="B637" s="5"/>
      <c r="C637" s="5"/>
    </row>
    <row r="638" spans="1:3" ht="15.75" customHeight="1" x14ac:dyDescent="0.3">
      <c r="A638" s="5"/>
      <c r="B638" s="5"/>
      <c r="C638" s="5"/>
    </row>
    <row r="639" spans="1:3" ht="15.75" customHeight="1" x14ac:dyDescent="0.3">
      <c r="A639" s="5"/>
      <c r="B639" s="5"/>
      <c r="C639" s="5"/>
    </row>
    <row r="640" spans="1:3" ht="15.75" customHeight="1" x14ac:dyDescent="0.3">
      <c r="A640" s="5"/>
      <c r="B640" s="5"/>
      <c r="C640" s="5"/>
    </row>
    <row r="641" spans="1:3" ht="15.75" customHeight="1" x14ac:dyDescent="0.3">
      <c r="A641" s="5"/>
      <c r="B641" s="5"/>
      <c r="C641" s="5"/>
    </row>
    <row r="642" spans="1:3" ht="15.75" customHeight="1" x14ac:dyDescent="0.3">
      <c r="A642" s="5"/>
      <c r="B642" s="5"/>
      <c r="C642" s="5"/>
    </row>
    <row r="643" spans="1:3" ht="15.75" customHeight="1" x14ac:dyDescent="0.3">
      <c r="A643" s="5"/>
      <c r="B643" s="5"/>
      <c r="C643" s="5"/>
    </row>
    <row r="644" spans="1:3" ht="15.75" customHeight="1" x14ac:dyDescent="0.3">
      <c r="A644" s="5"/>
      <c r="B644" s="5"/>
      <c r="C644" s="5"/>
    </row>
    <row r="645" spans="1:3" ht="15.75" customHeight="1" x14ac:dyDescent="0.3">
      <c r="A645" s="5"/>
      <c r="B645" s="5"/>
      <c r="C645" s="5"/>
    </row>
    <row r="646" spans="1:3" ht="15.75" customHeight="1" x14ac:dyDescent="0.3">
      <c r="A646" s="5"/>
      <c r="B646" s="5"/>
      <c r="C646" s="5"/>
    </row>
    <row r="647" spans="1:3" ht="15.75" customHeight="1" x14ac:dyDescent="0.3">
      <c r="A647" s="5"/>
      <c r="B647" s="5"/>
      <c r="C647" s="5"/>
    </row>
    <row r="648" spans="1:3" ht="15.75" customHeight="1" x14ac:dyDescent="0.3">
      <c r="A648" s="5"/>
      <c r="B648" s="5"/>
      <c r="C648" s="5"/>
    </row>
    <row r="649" spans="1:3" ht="15.75" customHeight="1" x14ac:dyDescent="0.3">
      <c r="A649" s="5"/>
      <c r="B649" s="5"/>
      <c r="C649" s="5"/>
    </row>
    <row r="650" spans="1:3" ht="15.75" customHeight="1" x14ac:dyDescent="0.3">
      <c r="A650" s="5"/>
      <c r="B650" s="5"/>
      <c r="C650" s="5"/>
    </row>
    <row r="651" spans="1:3" ht="15.75" customHeight="1" x14ac:dyDescent="0.3">
      <c r="A651" s="5"/>
      <c r="B651" s="5"/>
      <c r="C651" s="5"/>
    </row>
    <row r="652" spans="1:3" ht="15.75" customHeight="1" x14ac:dyDescent="0.3">
      <c r="A652" s="5"/>
      <c r="B652" s="5"/>
      <c r="C652" s="5"/>
    </row>
    <row r="653" spans="1:3" ht="15.75" customHeight="1" x14ac:dyDescent="0.3">
      <c r="A653" s="5"/>
      <c r="B653" s="5"/>
      <c r="C653" s="5"/>
    </row>
    <row r="654" spans="1:3" ht="15.75" customHeight="1" x14ac:dyDescent="0.3">
      <c r="A654" s="5"/>
      <c r="B654" s="5"/>
      <c r="C654" s="5"/>
    </row>
    <row r="655" spans="1:3" ht="15.75" customHeight="1" x14ac:dyDescent="0.3">
      <c r="A655" s="5"/>
      <c r="B655" s="5"/>
      <c r="C655" s="5"/>
    </row>
    <row r="656" spans="1:3" ht="15.75" customHeight="1" x14ac:dyDescent="0.3">
      <c r="A656" s="5"/>
      <c r="B656" s="5"/>
      <c r="C656" s="5"/>
    </row>
    <row r="657" spans="1:3" ht="15.75" customHeight="1" x14ac:dyDescent="0.3">
      <c r="A657" s="5"/>
      <c r="B657" s="5"/>
      <c r="C657" s="5"/>
    </row>
    <row r="658" spans="1:3" ht="15.75" customHeight="1" x14ac:dyDescent="0.3">
      <c r="A658" s="5"/>
      <c r="B658" s="5"/>
      <c r="C658" s="5"/>
    </row>
    <row r="659" spans="1:3" ht="15.75" customHeight="1" x14ac:dyDescent="0.3">
      <c r="A659" s="5"/>
      <c r="B659" s="5"/>
      <c r="C659" s="5"/>
    </row>
    <row r="660" spans="1:3" ht="15.75" customHeight="1" x14ac:dyDescent="0.3">
      <c r="A660" s="5"/>
      <c r="B660" s="5"/>
      <c r="C660" s="5"/>
    </row>
    <row r="661" spans="1:3" ht="15.75" customHeight="1" x14ac:dyDescent="0.3">
      <c r="A661" s="5"/>
      <c r="B661" s="5"/>
      <c r="C661" s="5"/>
    </row>
    <row r="662" spans="1:3" ht="15.75" customHeight="1" x14ac:dyDescent="0.3">
      <c r="A662" s="5"/>
      <c r="B662" s="5"/>
      <c r="C662" s="5"/>
    </row>
    <row r="663" spans="1:3" ht="15.75" customHeight="1" x14ac:dyDescent="0.3">
      <c r="A663" s="5"/>
      <c r="B663" s="5"/>
      <c r="C663" s="5"/>
    </row>
    <row r="664" spans="1:3" ht="15.75" customHeight="1" x14ac:dyDescent="0.3">
      <c r="A664" s="5"/>
      <c r="B664" s="5"/>
      <c r="C664" s="5"/>
    </row>
    <row r="665" spans="1:3" ht="15.75" customHeight="1" x14ac:dyDescent="0.3">
      <c r="A665" s="5"/>
      <c r="B665" s="5"/>
      <c r="C665" s="5"/>
    </row>
    <row r="666" spans="1:3" ht="15.75" customHeight="1" x14ac:dyDescent="0.3">
      <c r="A666" s="5"/>
      <c r="B666" s="5"/>
      <c r="C666" s="5"/>
    </row>
    <row r="667" spans="1:3" ht="15.75" customHeight="1" x14ac:dyDescent="0.3">
      <c r="A667" s="5"/>
      <c r="B667" s="5"/>
      <c r="C667" s="5"/>
    </row>
    <row r="668" spans="1:3" ht="15.75" customHeight="1" x14ac:dyDescent="0.3">
      <c r="A668" s="5"/>
      <c r="B668" s="5"/>
      <c r="C668" s="5"/>
    </row>
    <row r="669" spans="1:3" ht="15.75" customHeight="1" x14ac:dyDescent="0.3">
      <c r="A669" s="5"/>
      <c r="B669" s="5"/>
      <c r="C669" s="5"/>
    </row>
    <row r="670" spans="1:3" ht="15.75" customHeight="1" x14ac:dyDescent="0.3">
      <c r="A670" s="5"/>
      <c r="B670" s="5"/>
      <c r="C670" s="5"/>
    </row>
    <row r="671" spans="1:3" ht="15.75" customHeight="1" x14ac:dyDescent="0.3">
      <c r="A671" s="5"/>
      <c r="B671" s="5"/>
      <c r="C671" s="5"/>
    </row>
    <row r="672" spans="1:3" ht="15.75" customHeight="1" x14ac:dyDescent="0.3">
      <c r="A672" s="5"/>
      <c r="B672" s="5"/>
      <c r="C672" s="5"/>
    </row>
    <row r="673" spans="1:3" ht="15.75" customHeight="1" x14ac:dyDescent="0.3">
      <c r="A673" s="5"/>
      <c r="B673" s="5"/>
      <c r="C673" s="5"/>
    </row>
    <row r="674" spans="1:3" ht="15.75" customHeight="1" x14ac:dyDescent="0.3">
      <c r="A674" s="5"/>
      <c r="B674" s="5"/>
      <c r="C674" s="5"/>
    </row>
    <row r="675" spans="1:3" ht="15.75" customHeight="1" x14ac:dyDescent="0.3">
      <c r="A675" s="5"/>
      <c r="B675" s="5"/>
      <c r="C675" s="5"/>
    </row>
    <row r="676" spans="1:3" ht="15.75" customHeight="1" x14ac:dyDescent="0.3">
      <c r="A676" s="5"/>
      <c r="B676" s="5"/>
      <c r="C676" s="5"/>
    </row>
    <row r="677" spans="1:3" ht="15.75" customHeight="1" x14ac:dyDescent="0.3">
      <c r="A677" s="5"/>
      <c r="B677" s="5"/>
      <c r="C677" s="5"/>
    </row>
    <row r="678" spans="1:3" ht="15.75" customHeight="1" x14ac:dyDescent="0.3">
      <c r="A678" s="5"/>
      <c r="B678" s="5"/>
      <c r="C678" s="5"/>
    </row>
    <row r="679" spans="1:3" ht="15.75" customHeight="1" x14ac:dyDescent="0.3">
      <c r="A679" s="5"/>
      <c r="B679" s="5"/>
      <c r="C679" s="5"/>
    </row>
    <row r="680" spans="1:3" ht="15.75" customHeight="1" x14ac:dyDescent="0.3">
      <c r="A680" s="5"/>
      <c r="B680" s="5"/>
      <c r="C680" s="5"/>
    </row>
    <row r="681" spans="1:3" ht="15.75" customHeight="1" x14ac:dyDescent="0.3">
      <c r="A681" s="5"/>
      <c r="B681" s="5"/>
      <c r="C681" s="5"/>
    </row>
    <row r="682" spans="1:3" ht="15.75" customHeight="1" x14ac:dyDescent="0.3">
      <c r="A682" s="5"/>
      <c r="B682" s="5"/>
      <c r="C682" s="5"/>
    </row>
    <row r="683" spans="1:3" ht="15.75" customHeight="1" x14ac:dyDescent="0.3">
      <c r="A683" s="5"/>
      <c r="B683" s="5"/>
      <c r="C683" s="5"/>
    </row>
    <row r="684" spans="1:3" ht="15.75" customHeight="1" x14ac:dyDescent="0.3">
      <c r="A684" s="5"/>
      <c r="B684" s="5"/>
      <c r="C684" s="5"/>
    </row>
    <row r="685" spans="1:3" ht="15.75" customHeight="1" x14ac:dyDescent="0.3">
      <c r="A685" s="5"/>
      <c r="B685" s="5"/>
      <c r="C685" s="5"/>
    </row>
    <row r="686" spans="1:3" ht="15.75" customHeight="1" x14ac:dyDescent="0.3">
      <c r="A686" s="5"/>
      <c r="B686" s="5"/>
      <c r="C686" s="5"/>
    </row>
    <row r="687" spans="1:3" ht="15.75" customHeight="1" x14ac:dyDescent="0.3">
      <c r="A687" s="5"/>
      <c r="B687" s="5"/>
      <c r="C687" s="5"/>
    </row>
    <row r="688" spans="1:3" ht="15.75" customHeight="1" x14ac:dyDescent="0.3">
      <c r="A688" s="5"/>
      <c r="B688" s="5"/>
      <c r="C688" s="5"/>
    </row>
    <row r="689" spans="1:3" ht="15.75" customHeight="1" x14ac:dyDescent="0.3">
      <c r="A689" s="5"/>
      <c r="B689" s="5"/>
      <c r="C689" s="5"/>
    </row>
    <row r="690" spans="1:3" ht="15.75" customHeight="1" x14ac:dyDescent="0.3">
      <c r="A690" s="5"/>
      <c r="B690" s="5"/>
      <c r="C690" s="5"/>
    </row>
    <row r="691" spans="1:3" ht="15.75" customHeight="1" x14ac:dyDescent="0.3">
      <c r="A691" s="5"/>
      <c r="B691" s="5"/>
      <c r="C691" s="5"/>
    </row>
    <row r="692" spans="1:3" ht="15.75" customHeight="1" x14ac:dyDescent="0.3">
      <c r="A692" s="5"/>
      <c r="B692" s="5"/>
      <c r="C692" s="5"/>
    </row>
    <row r="693" spans="1:3" ht="15.75" customHeight="1" x14ac:dyDescent="0.3">
      <c r="A693" s="5"/>
      <c r="B693" s="5"/>
      <c r="C693" s="5"/>
    </row>
    <row r="694" spans="1:3" ht="15.75" customHeight="1" x14ac:dyDescent="0.3">
      <c r="A694" s="5"/>
      <c r="B694" s="5"/>
      <c r="C694" s="5"/>
    </row>
    <row r="695" spans="1:3" ht="15.75" customHeight="1" x14ac:dyDescent="0.3">
      <c r="A695" s="5"/>
      <c r="B695" s="5"/>
      <c r="C695" s="5"/>
    </row>
    <row r="696" spans="1:3" ht="15.75" customHeight="1" x14ac:dyDescent="0.3">
      <c r="A696" s="5"/>
      <c r="B696" s="5"/>
      <c r="C696" s="5"/>
    </row>
    <row r="697" spans="1:3" ht="15.75" customHeight="1" x14ac:dyDescent="0.3">
      <c r="A697" s="5"/>
      <c r="B697" s="5"/>
      <c r="C697" s="5"/>
    </row>
    <row r="698" spans="1:3" ht="15.75" customHeight="1" x14ac:dyDescent="0.3">
      <c r="A698" s="5"/>
      <c r="B698" s="5"/>
      <c r="C698" s="5"/>
    </row>
    <row r="699" spans="1:3" ht="15.75" customHeight="1" x14ac:dyDescent="0.3">
      <c r="A699" s="5"/>
      <c r="B699" s="5"/>
      <c r="C699" s="5"/>
    </row>
    <row r="700" spans="1:3" ht="15.75" customHeight="1" x14ac:dyDescent="0.3">
      <c r="A700" s="5"/>
      <c r="B700" s="5"/>
      <c r="C700" s="5"/>
    </row>
    <row r="701" spans="1:3" ht="15.75" customHeight="1" x14ac:dyDescent="0.3">
      <c r="A701" s="5"/>
      <c r="B701" s="5"/>
      <c r="C701" s="5"/>
    </row>
    <row r="702" spans="1:3" ht="15.75" customHeight="1" x14ac:dyDescent="0.3">
      <c r="A702" s="5"/>
      <c r="B702" s="5"/>
      <c r="C702" s="5"/>
    </row>
    <row r="703" spans="1:3" ht="15.75" customHeight="1" x14ac:dyDescent="0.3">
      <c r="A703" s="5"/>
      <c r="B703" s="5"/>
      <c r="C703" s="5"/>
    </row>
    <row r="704" spans="1:3" ht="15.75" customHeight="1" x14ac:dyDescent="0.3">
      <c r="A704" s="5"/>
      <c r="B704" s="5"/>
      <c r="C704" s="5"/>
    </row>
    <row r="705" spans="1:3" ht="15.75" customHeight="1" x14ac:dyDescent="0.3">
      <c r="A705" s="5"/>
      <c r="B705" s="5"/>
      <c r="C705" s="5"/>
    </row>
    <row r="706" spans="1:3" ht="15.75" customHeight="1" x14ac:dyDescent="0.3">
      <c r="A706" s="5"/>
      <c r="B706" s="5"/>
      <c r="C706" s="5"/>
    </row>
    <row r="707" spans="1:3" ht="15.75" customHeight="1" x14ac:dyDescent="0.3">
      <c r="A707" s="5"/>
      <c r="B707" s="5"/>
      <c r="C707" s="5"/>
    </row>
    <row r="708" spans="1:3" ht="15.75" customHeight="1" x14ac:dyDescent="0.3">
      <c r="A708" s="5"/>
      <c r="B708" s="5"/>
      <c r="C708" s="5"/>
    </row>
    <row r="709" spans="1:3" ht="15.75" customHeight="1" x14ac:dyDescent="0.3">
      <c r="A709" s="5"/>
      <c r="B709" s="5"/>
      <c r="C709" s="5"/>
    </row>
    <row r="710" spans="1:3" ht="15.75" customHeight="1" x14ac:dyDescent="0.3">
      <c r="A710" s="5"/>
      <c r="B710" s="5"/>
      <c r="C710" s="5"/>
    </row>
    <row r="711" spans="1:3" ht="15.75" customHeight="1" x14ac:dyDescent="0.3">
      <c r="A711" s="5"/>
      <c r="B711" s="5"/>
      <c r="C711" s="5"/>
    </row>
    <row r="712" spans="1:3" ht="15.75" customHeight="1" x14ac:dyDescent="0.3">
      <c r="A712" s="5"/>
      <c r="B712" s="5"/>
      <c r="C712" s="5"/>
    </row>
    <row r="713" spans="1:3" ht="15.75" customHeight="1" x14ac:dyDescent="0.3">
      <c r="A713" s="5"/>
      <c r="B713" s="5"/>
      <c r="C713" s="5"/>
    </row>
    <row r="714" spans="1:3" ht="15.75" customHeight="1" x14ac:dyDescent="0.3">
      <c r="A714" s="5"/>
      <c r="B714" s="5"/>
      <c r="C714" s="5"/>
    </row>
    <row r="715" spans="1:3" ht="15.75" customHeight="1" x14ac:dyDescent="0.3">
      <c r="A715" s="5"/>
      <c r="B715" s="5"/>
      <c r="C715" s="5"/>
    </row>
    <row r="716" spans="1:3" ht="15.75" customHeight="1" x14ac:dyDescent="0.3">
      <c r="A716" s="5"/>
      <c r="B716" s="5"/>
      <c r="C716" s="5"/>
    </row>
    <row r="717" spans="1:3" ht="15.75" customHeight="1" x14ac:dyDescent="0.3">
      <c r="A717" s="5"/>
      <c r="B717" s="5"/>
      <c r="C717" s="5"/>
    </row>
    <row r="718" spans="1:3" ht="15.75" customHeight="1" x14ac:dyDescent="0.3">
      <c r="A718" s="5"/>
      <c r="B718" s="5"/>
      <c r="C718" s="5"/>
    </row>
    <row r="719" spans="1:3" ht="15.75" customHeight="1" x14ac:dyDescent="0.3">
      <c r="A719" s="5"/>
      <c r="B719" s="5"/>
      <c r="C719" s="5"/>
    </row>
    <row r="720" spans="1:3" ht="15.75" customHeight="1" x14ac:dyDescent="0.3">
      <c r="A720" s="5"/>
      <c r="B720" s="5"/>
      <c r="C720" s="5"/>
    </row>
    <row r="721" spans="1:3" ht="15.75" customHeight="1" x14ac:dyDescent="0.3">
      <c r="A721" s="5"/>
      <c r="B721" s="5"/>
      <c r="C721" s="5"/>
    </row>
    <row r="722" spans="1:3" ht="15.75" customHeight="1" x14ac:dyDescent="0.3">
      <c r="A722" s="5"/>
      <c r="B722" s="5"/>
      <c r="C722" s="5"/>
    </row>
    <row r="723" spans="1:3" ht="15.75" customHeight="1" x14ac:dyDescent="0.3">
      <c r="A723" s="5"/>
      <c r="B723" s="5"/>
      <c r="C723" s="5"/>
    </row>
    <row r="724" spans="1:3" ht="15.75" customHeight="1" x14ac:dyDescent="0.3">
      <c r="A724" s="5"/>
      <c r="B724" s="5"/>
      <c r="C724" s="5"/>
    </row>
    <row r="725" spans="1:3" ht="15.75" customHeight="1" x14ac:dyDescent="0.3">
      <c r="A725" s="5"/>
      <c r="B725" s="5"/>
      <c r="C725" s="5"/>
    </row>
    <row r="726" spans="1:3" ht="15.75" customHeight="1" x14ac:dyDescent="0.3">
      <c r="A726" s="5"/>
      <c r="B726" s="5"/>
      <c r="C726" s="5"/>
    </row>
    <row r="727" spans="1:3" ht="15.75" customHeight="1" x14ac:dyDescent="0.3">
      <c r="A727" s="5"/>
      <c r="B727" s="5"/>
      <c r="C727" s="5"/>
    </row>
    <row r="728" spans="1:3" ht="15.75" customHeight="1" x14ac:dyDescent="0.3">
      <c r="A728" s="5"/>
      <c r="B728" s="5"/>
      <c r="C728" s="5"/>
    </row>
    <row r="729" spans="1:3" ht="15.75" customHeight="1" x14ac:dyDescent="0.3">
      <c r="A729" s="5"/>
      <c r="B729" s="5"/>
      <c r="C729" s="5"/>
    </row>
    <row r="730" spans="1:3" ht="15.75" customHeight="1" x14ac:dyDescent="0.3">
      <c r="A730" s="5"/>
      <c r="B730" s="5"/>
      <c r="C730" s="5"/>
    </row>
    <row r="731" spans="1:3" ht="15.75" customHeight="1" x14ac:dyDescent="0.3">
      <c r="A731" s="5"/>
      <c r="B731" s="5"/>
      <c r="C731" s="5"/>
    </row>
    <row r="732" spans="1:3" ht="15.75" customHeight="1" x14ac:dyDescent="0.3">
      <c r="A732" s="5"/>
      <c r="B732" s="5"/>
      <c r="C732" s="5"/>
    </row>
    <row r="733" spans="1:3" ht="15.75" customHeight="1" x14ac:dyDescent="0.3">
      <c r="A733" s="5"/>
      <c r="B733" s="5"/>
      <c r="C733" s="5"/>
    </row>
    <row r="734" spans="1:3" ht="15.75" customHeight="1" x14ac:dyDescent="0.3">
      <c r="A734" s="5"/>
      <c r="B734" s="5"/>
      <c r="C734" s="5"/>
    </row>
    <row r="735" spans="1:3" ht="15.75" customHeight="1" x14ac:dyDescent="0.3">
      <c r="A735" s="5"/>
      <c r="B735" s="5"/>
      <c r="C735" s="5"/>
    </row>
    <row r="736" spans="1:3" ht="15.75" customHeight="1" x14ac:dyDescent="0.3">
      <c r="A736" s="5"/>
      <c r="B736" s="5"/>
      <c r="C736" s="5"/>
    </row>
    <row r="737" spans="1:3" ht="15.75" customHeight="1" x14ac:dyDescent="0.3">
      <c r="A737" s="5"/>
      <c r="B737" s="5"/>
      <c r="C737" s="5"/>
    </row>
    <row r="738" spans="1:3" ht="15.75" customHeight="1" x14ac:dyDescent="0.3">
      <c r="A738" s="5"/>
      <c r="B738" s="5"/>
      <c r="C738" s="5"/>
    </row>
    <row r="739" spans="1:3" ht="15.75" customHeight="1" x14ac:dyDescent="0.3">
      <c r="A739" s="5"/>
      <c r="B739" s="5"/>
      <c r="C739" s="5"/>
    </row>
    <row r="740" spans="1:3" ht="15.75" customHeight="1" x14ac:dyDescent="0.3">
      <c r="A740" s="5"/>
      <c r="B740" s="5"/>
      <c r="C740" s="5"/>
    </row>
    <row r="741" spans="1:3" ht="15.75" customHeight="1" x14ac:dyDescent="0.3">
      <c r="A741" s="5"/>
      <c r="B741" s="5"/>
      <c r="C741" s="5"/>
    </row>
    <row r="742" spans="1:3" ht="15.75" customHeight="1" x14ac:dyDescent="0.3">
      <c r="A742" s="5"/>
      <c r="B742" s="5"/>
      <c r="C742" s="5"/>
    </row>
    <row r="743" spans="1:3" ht="15.75" customHeight="1" x14ac:dyDescent="0.3">
      <c r="A743" s="5"/>
      <c r="B743" s="5"/>
      <c r="C743" s="5"/>
    </row>
    <row r="744" spans="1:3" ht="15.75" customHeight="1" x14ac:dyDescent="0.3">
      <c r="A744" s="5"/>
      <c r="B744" s="5"/>
      <c r="C744" s="5"/>
    </row>
    <row r="745" spans="1:3" ht="15.75" customHeight="1" x14ac:dyDescent="0.3">
      <c r="A745" s="5"/>
      <c r="B745" s="5"/>
      <c r="C745" s="5"/>
    </row>
    <row r="746" spans="1:3" ht="15.75" customHeight="1" x14ac:dyDescent="0.3">
      <c r="A746" s="5"/>
      <c r="B746" s="5"/>
      <c r="C746" s="5"/>
    </row>
    <row r="747" spans="1:3" ht="15.75" customHeight="1" x14ac:dyDescent="0.3">
      <c r="A747" s="5"/>
      <c r="B747" s="5"/>
      <c r="C747" s="5"/>
    </row>
    <row r="748" spans="1:3" ht="15.75" customHeight="1" x14ac:dyDescent="0.3">
      <c r="A748" s="5"/>
      <c r="B748" s="5"/>
      <c r="C748" s="5"/>
    </row>
    <row r="749" spans="1:3" ht="15.75" customHeight="1" x14ac:dyDescent="0.3">
      <c r="A749" s="5"/>
      <c r="B749" s="5"/>
      <c r="C749" s="5"/>
    </row>
    <row r="750" spans="1:3" ht="15.75" customHeight="1" x14ac:dyDescent="0.3">
      <c r="A750" s="5"/>
      <c r="B750" s="5"/>
      <c r="C750" s="5"/>
    </row>
    <row r="751" spans="1:3" ht="15.75" customHeight="1" x14ac:dyDescent="0.3">
      <c r="A751" s="5"/>
      <c r="B751" s="5"/>
      <c r="C751" s="5"/>
    </row>
    <row r="752" spans="1:3" ht="15.75" customHeight="1" x14ac:dyDescent="0.3">
      <c r="A752" s="5"/>
      <c r="B752" s="5"/>
      <c r="C752" s="5"/>
    </row>
    <row r="753" spans="1:3" ht="15.75" customHeight="1" x14ac:dyDescent="0.3">
      <c r="A753" s="5"/>
      <c r="B753" s="5"/>
      <c r="C753" s="5"/>
    </row>
    <row r="754" spans="1:3" ht="15.75" customHeight="1" x14ac:dyDescent="0.3">
      <c r="A754" s="5"/>
      <c r="B754" s="5"/>
      <c r="C754" s="5"/>
    </row>
    <row r="755" spans="1:3" ht="15.75" customHeight="1" x14ac:dyDescent="0.3">
      <c r="A755" s="5"/>
      <c r="B755" s="5"/>
      <c r="C755" s="5"/>
    </row>
    <row r="756" spans="1:3" ht="15.75" customHeight="1" x14ac:dyDescent="0.3">
      <c r="A756" s="5"/>
      <c r="B756" s="5"/>
      <c r="C756" s="5"/>
    </row>
    <row r="757" spans="1:3" ht="15.75" customHeight="1" x14ac:dyDescent="0.3">
      <c r="A757" s="5"/>
      <c r="B757" s="5"/>
      <c r="C757" s="5"/>
    </row>
    <row r="758" spans="1:3" ht="15.75" customHeight="1" x14ac:dyDescent="0.3">
      <c r="A758" s="5"/>
      <c r="B758" s="5"/>
      <c r="C758" s="5"/>
    </row>
    <row r="759" spans="1:3" ht="15.75" customHeight="1" x14ac:dyDescent="0.3">
      <c r="A759" s="5"/>
      <c r="B759" s="5"/>
      <c r="C759" s="5"/>
    </row>
    <row r="760" spans="1:3" ht="15.75" customHeight="1" x14ac:dyDescent="0.3">
      <c r="A760" s="5"/>
      <c r="B760" s="5"/>
      <c r="C760" s="5"/>
    </row>
    <row r="761" spans="1:3" ht="15.75" customHeight="1" x14ac:dyDescent="0.3">
      <c r="A761" s="5"/>
      <c r="B761" s="5"/>
      <c r="C761" s="5"/>
    </row>
    <row r="762" spans="1:3" ht="15.75" customHeight="1" x14ac:dyDescent="0.3">
      <c r="A762" s="5"/>
      <c r="B762" s="5"/>
      <c r="C762" s="5"/>
    </row>
    <row r="763" spans="1:3" ht="15.75" customHeight="1" x14ac:dyDescent="0.3">
      <c r="A763" s="5"/>
      <c r="B763" s="5"/>
      <c r="C763" s="5"/>
    </row>
    <row r="764" spans="1:3" ht="15.75" customHeight="1" x14ac:dyDescent="0.3">
      <c r="A764" s="5"/>
      <c r="B764" s="5"/>
      <c r="C764" s="5"/>
    </row>
    <row r="765" spans="1:3" ht="15.75" customHeight="1" x14ac:dyDescent="0.3">
      <c r="A765" s="5"/>
      <c r="B765" s="5"/>
      <c r="C765" s="5"/>
    </row>
    <row r="766" spans="1:3" ht="15.75" customHeight="1" x14ac:dyDescent="0.3">
      <c r="A766" s="5"/>
      <c r="B766" s="5"/>
      <c r="C766" s="5"/>
    </row>
    <row r="767" spans="1:3" ht="15.75" customHeight="1" x14ac:dyDescent="0.3">
      <c r="A767" s="5"/>
      <c r="B767" s="5"/>
      <c r="C767" s="5"/>
    </row>
    <row r="768" spans="1:3" ht="15.75" customHeight="1" x14ac:dyDescent="0.3">
      <c r="A768" s="5"/>
      <c r="B768" s="5"/>
      <c r="C768" s="5"/>
    </row>
    <row r="769" spans="1:3" ht="15.75" customHeight="1" x14ac:dyDescent="0.3">
      <c r="A769" s="5"/>
      <c r="B769" s="5"/>
      <c r="C769" s="5"/>
    </row>
    <row r="770" spans="1:3" ht="15.75" customHeight="1" x14ac:dyDescent="0.3">
      <c r="A770" s="5"/>
      <c r="B770" s="5"/>
      <c r="C770" s="5"/>
    </row>
    <row r="771" spans="1:3" ht="15.75" customHeight="1" x14ac:dyDescent="0.3">
      <c r="A771" s="5"/>
      <c r="B771" s="5"/>
      <c r="C771" s="5"/>
    </row>
    <row r="772" spans="1:3" ht="15.75" customHeight="1" x14ac:dyDescent="0.3">
      <c r="A772" s="5"/>
      <c r="B772" s="5"/>
      <c r="C772" s="5"/>
    </row>
    <row r="773" spans="1:3" ht="15.75" customHeight="1" x14ac:dyDescent="0.3">
      <c r="A773" s="5"/>
      <c r="B773" s="5"/>
      <c r="C773" s="5"/>
    </row>
    <row r="774" spans="1:3" ht="15.75" customHeight="1" x14ac:dyDescent="0.3">
      <c r="A774" s="5"/>
      <c r="B774" s="5"/>
      <c r="C774" s="5"/>
    </row>
    <row r="775" spans="1:3" ht="15.75" customHeight="1" x14ac:dyDescent="0.3">
      <c r="A775" s="5"/>
      <c r="B775" s="5"/>
      <c r="C775" s="5"/>
    </row>
    <row r="776" spans="1:3" ht="15.75" customHeight="1" x14ac:dyDescent="0.3">
      <c r="A776" s="5"/>
      <c r="B776" s="5"/>
      <c r="C776" s="5"/>
    </row>
    <row r="777" spans="1:3" ht="15.75" customHeight="1" x14ac:dyDescent="0.3">
      <c r="A777" s="5"/>
      <c r="B777" s="5"/>
      <c r="C777" s="5"/>
    </row>
    <row r="778" spans="1:3" ht="15.75" customHeight="1" x14ac:dyDescent="0.3">
      <c r="A778" s="5"/>
      <c r="B778" s="5"/>
      <c r="C778" s="5"/>
    </row>
    <row r="779" spans="1:3" ht="15.75" customHeight="1" x14ac:dyDescent="0.3">
      <c r="A779" s="5"/>
      <c r="B779" s="5"/>
      <c r="C779" s="5"/>
    </row>
    <row r="780" spans="1:3" ht="15.75" customHeight="1" x14ac:dyDescent="0.3">
      <c r="A780" s="5"/>
      <c r="B780" s="5"/>
      <c r="C780" s="5"/>
    </row>
    <row r="781" spans="1:3" ht="15.75" customHeight="1" x14ac:dyDescent="0.3">
      <c r="A781" s="5"/>
      <c r="B781" s="5"/>
      <c r="C781" s="5"/>
    </row>
    <row r="782" spans="1:3" ht="15.75" customHeight="1" x14ac:dyDescent="0.3">
      <c r="A782" s="5"/>
      <c r="B782" s="5"/>
      <c r="C782" s="5"/>
    </row>
    <row r="783" spans="1:3" ht="15.75" customHeight="1" x14ac:dyDescent="0.3">
      <c r="A783" s="5"/>
      <c r="B783" s="5"/>
      <c r="C783" s="5"/>
    </row>
    <row r="784" spans="1:3" ht="15.75" customHeight="1" x14ac:dyDescent="0.3">
      <c r="A784" s="5"/>
      <c r="B784" s="5"/>
      <c r="C784" s="5"/>
    </row>
    <row r="785" spans="1:3" ht="15.75" customHeight="1" x14ac:dyDescent="0.3">
      <c r="A785" s="5"/>
      <c r="B785" s="5"/>
      <c r="C785" s="5"/>
    </row>
    <row r="786" spans="1:3" ht="15.75" customHeight="1" x14ac:dyDescent="0.3">
      <c r="A786" s="5"/>
      <c r="B786" s="5"/>
      <c r="C786" s="5"/>
    </row>
    <row r="787" spans="1:3" ht="15.75" customHeight="1" x14ac:dyDescent="0.3">
      <c r="A787" s="5"/>
      <c r="B787" s="5"/>
      <c r="C787" s="5"/>
    </row>
    <row r="788" spans="1:3" ht="15.75" customHeight="1" x14ac:dyDescent="0.3">
      <c r="A788" s="5"/>
      <c r="B788" s="5"/>
      <c r="C788" s="5"/>
    </row>
    <row r="789" spans="1:3" ht="15.75" customHeight="1" x14ac:dyDescent="0.3">
      <c r="A789" s="5"/>
      <c r="B789" s="5"/>
      <c r="C789" s="5"/>
    </row>
    <row r="790" spans="1:3" ht="15.75" customHeight="1" x14ac:dyDescent="0.3">
      <c r="A790" s="5"/>
      <c r="B790" s="5"/>
      <c r="C790" s="5"/>
    </row>
    <row r="791" spans="1:3" ht="15.75" customHeight="1" x14ac:dyDescent="0.3">
      <c r="A791" s="5"/>
      <c r="B791" s="5"/>
      <c r="C791" s="5"/>
    </row>
    <row r="792" spans="1:3" ht="15.75" customHeight="1" x14ac:dyDescent="0.3">
      <c r="A792" s="5"/>
      <c r="B792" s="5"/>
      <c r="C792" s="5"/>
    </row>
    <row r="793" spans="1:3" ht="15.75" customHeight="1" x14ac:dyDescent="0.3">
      <c r="A793" s="5"/>
      <c r="B793" s="5"/>
      <c r="C793" s="5"/>
    </row>
    <row r="794" spans="1:3" ht="15.75" customHeight="1" x14ac:dyDescent="0.3">
      <c r="A794" s="5"/>
      <c r="B794" s="5"/>
      <c r="C794" s="5"/>
    </row>
    <row r="795" spans="1:3" ht="15.75" customHeight="1" x14ac:dyDescent="0.3">
      <c r="A795" s="5"/>
      <c r="B795" s="5"/>
      <c r="C795" s="5"/>
    </row>
    <row r="796" spans="1:3" ht="15.75" customHeight="1" x14ac:dyDescent="0.3">
      <c r="A796" s="5"/>
      <c r="B796" s="5"/>
      <c r="C796" s="5"/>
    </row>
    <row r="797" spans="1:3" ht="15.75" customHeight="1" x14ac:dyDescent="0.3">
      <c r="A797" s="5"/>
      <c r="B797" s="5"/>
      <c r="C797" s="5"/>
    </row>
    <row r="798" spans="1:3" ht="15.75" customHeight="1" x14ac:dyDescent="0.3">
      <c r="A798" s="5"/>
      <c r="B798" s="5"/>
      <c r="C798" s="5"/>
    </row>
    <row r="799" spans="1:3" ht="15.75" customHeight="1" x14ac:dyDescent="0.3">
      <c r="A799" s="5"/>
      <c r="B799" s="5"/>
      <c r="C799" s="5"/>
    </row>
    <row r="800" spans="1:3" ht="15.75" customHeight="1" x14ac:dyDescent="0.3">
      <c r="A800" s="5"/>
      <c r="B800" s="5"/>
      <c r="C800" s="5"/>
    </row>
    <row r="801" spans="1:3" ht="15.75" customHeight="1" x14ac:dyDescent="0.3">
      <c r="A801" s="5"/>
      <c r="B801" s="5"/>
      <c r="C801" s="5"/>
    </row>
    <row r="802" spans="1:3" ht="15.75" customHeight="1" x14ac:dyDescent="0.3">
      <c r="A802" s="5"/>
      <c r="B802" s="5"/>
      <c r="C802" s="5"/>
    </row>
    <row r="803" spans="1:3" ht="15.75" customHeight="1" x14ac:dyDescent="0.3">
      <c r="A803" s="5"/>
      <c r="B803" s="5"/>
      <c r="C803" s="5"/>
    </row>
    <row r="804" spans="1:3" ht="15.75" customHeight="1" x14ac:dyDescent="0.3">
      <c r="A804" s="5"/>
      <c r="B804" s="5"/>
      <c r="C804" s="5"/>
    </row>
    <row r="805" spans="1:3" ht="15.75" customHeight="1" x14ac:dyDescent="0.3">
      <c r="A805" s="5"/>
      <c r="B805" s="5"/>
      <c r="C805" s="5"/>
    </row>
    <row r="806" spans="1:3" ht="15.75" customHeight="1" x14ac:dyDescent="0.3">
      <c r="A806" s="5"/>
      <c r="B806" s="5"/>
      <c r="C806" s="5"/>
    </row>
    <row r="807" spans="1:3" ht="15.75" customHeight="1" x14ac:dyDescent="0.3">
      <c r="A807" s="5"/>
      <c r="B807" s="5"/>
      <c r="C807" s="5"/>
    </row>
    <row r="808" spans="1:3" ht="15.75" customHeight="1" x14ac:dyDescent="0.3">
      <c r="A808" s="5"/>
      <c r="B808" s="5"/>
      <c r="C808" s="5"/>
    </row>
    <row r="809" spans="1:3" ht="15.75" customHeight="1" x14ac:dyDescent="0.3">
      <c r="A809" s="5"/>
      <c r="B809" s="5"/>
      <c r="C809" s="5"/>
    </row>
    <row r="810" spans="1:3" ht="15.75" customHeight="1" x14ac:dyDescent="0.3">
      <c r="A810" s="5"/>
      <c r="B810" s="5"/>
      <c r="C810" s="5"/>
    </row>
    <row r="811" spans="1:3" ht="15.75" customHeight="1" x14ac:dyDescent="0.3">
      <c r="A811" s="5"/>
      <c r="B811" s="5"/>
      <c r="C811" s="5"/>
    </row>
    <row r="812" spans="1:3" ht="15.75" customHeight="1" x14ac:dyDescent="0.3">
      <c r="A812" s="5"/>
      <c r="B812" s="5"/>
      <c r="C812" s="5"/>
    </row>
    <row r="813" spans="1:3" ht="15.75" customHeight="1" x14ac:dyDescent="0.3">
      <c r="A813" s="5"/>
      <c r="B813" s="5"/>
      <c r="C813" s="5"/>
    </row>
    <row r="814" spans="1:3" ht="15.75" customHeight="1" x14ac:dyDescent="0.3">
      <c r="A814" s="5"/>
      <c r="B814" s="5"/>
      <c r="C814" s="5"/>
    </row>
    <row r="815" spans="1:3" ht="15.75" customHeight="1" x14ac:dyDescent="0.3">
      <c r="A815" s="5"/>
      <c r="B815" s="5"/>
      <c r="C815" s="5"/>
    </row>
    <row r="816" spans="1:3" ht="15.75" customHeight="1" x14ac:dyDescent="0.3">
      <c r="A816" s="5"/>
      <c r="B816" s="5"/>
      <c r="C816" s="5"/>
    </row>
    <row r="817" spans="1:3" ht="15.75" customHeight="1" x14ac:dyDescent="0.3">
      <c r="A817" s="5"/>
      <c r="B817" s="5"/>
      <c r="C817" s="5"/>
    </row>
    <row r="818" spans="1:3" ht="15.75" customHeight="1" x14ac:dyDescent="0.3">
      <c r="A818" s="5"/>
      <c r="B818" s="5"/>
      <c r="C818" s="5"/>
    </row>
    <row r="819" spans="1:3" ht="15.75" customHeight="1" x14ac:dyDescent="0.3">
      <c r="A819" s="5"/>
      <c r="B819" s="5"/>
      <c r="C819" s="5"/>
    </row>
    <row r="820" spans="1:3" ht="15.75" customHeight="1" x14ac:dyDescent="0.3">
      <c r="A820" s="5"/>
      <c r="B820" s="5"/>
      <c r="C820" s="5"/>
    </row>
    <row r="821" spans="1:3" ht="15.75" customHeight="1" x14ac:dyDescent="0.3">
      <c r="A821" s="5"/>
      <c r="B821" s="5"/>
      <c r="C821" s="5"/>
    </row>
    <row r="822" spans="1:3" ht="15.75" customHeight="1" x14ac:dyDescent="0.3">
      <c r="A822" s="5"/>
      <c r="B822" s="5"/>
      <c r="C822" s="5"/>
    </row>
    <row r="823" spans="1:3" ht="15.75" customHeight="1" x14ac:dyDescent="0.3">
      <c r="A823" s="5"/>
      <c r="B823" s="5"/>
      <c r="C823" s="5"/>
    </row>
    <row r="824" spans="1:3" ht="15.75" customHeight="1" x14ac:dyDescent="0.3">
      <c r="A824" s="5"/>
      <c r="B824" s="5"/>
      <c r="C824" s="5"/>
    </row>
    <row r="825" spans="1:3" ht="15.75" customHeight="1" x14ac:dyDescent="0.3">
      <c r="A825" s="5"/>
      <c r="B825" s="5"/>
      <c r="C825" s="5"/>
    </row>
    <row r="826" spans="1:3" ht="15.75" customHeight="1" x14ac:dyDescent="0.3">
      <c r="A826" s="5"/>
      <c r="B826" s="5"/>
      <c r="C826" s="5"/>
    </row>
    <row r="827" spans="1:3" ht="15.75" customHeight="1" x14ac:dyDescent="0.3">
      <c r="A827" s="5"/>
      <c r="B827" s="5"/>
      <c r="C827" s="5"/>
    </row>
    <row r="828" spans="1:3" ht="15.75" customHeight="1" x14ac:dyDescent="0.3">
      <c r="A828" s="5"/>
      <c r="B828" s="5"/>
      <c r="C828" s="5"/>
    </row>
    <row r="829" spans="1:3" ht="15.75" customHeight="1" x14ac:dyDescent="0.3">
      <c r="A829" s="5"/>
      <c r="B829" s="5"/>
      <c r="C829" s="5"/>
    </row>
    <row r="830" spans="1:3" ht="15.75" customHeight="1" x14ac:dyDescent="0.3">
      <c r="A830" s="5"/>
      <c r="B830" s="5"/>
      <c r="C830" s="5"/>
    </row>
    <row r="831" spans="1:3" ht="15.75" customHeight="1" x14ac:dyDescent="0.3">
      <c r="A831" s="5"/>
      <c r="B831" s="5"/>
      <c r="C831" s="5"/>
    </row>
    <row r="832" spans="1:3" ht="15.75" customHeight="1" x14ac:dyDescent="0.3">
      <c r="A832" s="5"/>
      <c r="B832" s="5"/>
      <c r="C832" s="5"/>
    </row>
    <row r="833" spans="1:3" ht="15.75" customHeight="1" x14ac:dyDescent="0.3">
      <c r="A833" s="5"/>
      <c r="B833" s="5"/>
      <c r="C833" s="5"/>
    </row>
    <row r="834" spans="1:3" ht="15.75" customHeight="1" x14ac:dyDescent="0.3">
      <c r="A834" s="5"/>
      <c r="B834" s="5"/>
      <c r="C834" s="5"/>
    </row>
    <row r="835" spans="1:3" ht="15.75" customHeight="1" x14ac:dyDescent="0.3">
      <c r="A835" s="5"/>
      <c r="B835" s="5"/>
      <c r="C835" s="5"/>
    </row>
    <row r="836" spans="1:3" ht="15.75" customHeight="1" x14ac:dyDescent="0.3">
      <c r="A836" s="5"/>
      <c r="B836" s="5"/>
      <c r="C836" s="5"/>
    </row>
    <row r="837" spans="1:3" ht="15.75" customHeight="1" x14ac:dyDescent="0.3">
      <c r="A837" s="5"/>
      <c r="B837" s="5"/>
      <c r="C837" s="5"/>
    </row>
    <row r="838" spans="1:3" ht="15.75" customHeight="1" x14ac:dyDescent="0.3">
      <c r="A838" s="5"/>
      <c r="B838" s="5"/>
      <c r="C838" s="5"/>
    </row>
    <row r="839" spans="1:3" ht="15.75" customHeight="1" x14ac:dyDescent="0.3">
      <c r="A839" s="5"/>
      <c r="B839" s="5"/>
      <c r="C839" s="5"/>
    </row>
    <row r="840" spans="1:3" ht="15.75" customHeight="1" x14ac:dyDescent="0.3">
      <c r="A840" s="5"/>
      <c r="B840" s="5"/>
      <c r="C840" s="5"/>
    </row>
    <row r="841" spans="1:3" ht="15.75" customHeight="1" x14ac:dyDescent="0.3">
      <c r="A841" s="5"/>
      <c r="B841" s="5"/>
      <c r="C841" s="5"/>
    </row>
    <row r="842" spans="1:3" ht="15.75" customHeight="1" x14ac:dyDescent="0.3">
      <c r="A842" s="5"/>
      <c r="B842" s="5"/>
      <c r="C842" s="5"/>
    </row>
    <row r="843" spans="1:3" ht="15.75" customHeight="1" x14ac:dyDescent="0.3">
      <c r="A843" s="5"/>
      <c r="B843" s="5"/>
      <c r="C843" s="5"/>
    </row>
    <row r="844" spans="1:3" ht="15.75" customHeight="1" x14ac:dyDescent="0.3">
      <c r="A844" s="5"/>
      <c r="B844" s="5"/>
      <c r="C844" s="5"/>
    </row>
    <row r="845" spans="1:3" ht="15.75" customHeight="1" x14ac:dyDescent="0.3">
      <c r="A845" s="5"/>
      <c r="B845" s="5"/>
      <c r="C845" s="5"/>
    </row>
    <row r="846" spans="1:3" ht="15.75" customHeight="1" x14ac:dyDescent="0.3">
      <c r="A846" s="5"/>
      <c r="B846" s="5"/>
      <c r="C846" s="5"/>
    </row>
    <row r="847" spans="1:3" ht="15.75" customHeight="1" x14ac:dyDescent="0.3">
      <c r="A847" s="5"/>
      <c r="B847" s="5"/>
      <c r="C847" s="5"/>
    </row>
    <row r="848" spans="1:3" ht="15.75" customHeight="1" x14ac:dyDescent="0.3">
      <c r="A848" s="5"/>
      <c r="B848" s="5"/>
      <c r="C848" s="5"/>
    </row>
    <row r="849" spans="1:3" ht="15.75" customHeight="1" x14ac:dyDescent="0.3">
      <c r="A849" s="5"/>
      <c r="B849" s="5"/>
      <c r="C849" s="5"/>
    </row>
    <row r="850" spans="1:3" ht="15.75" customHeight="1" x14ac:dyDescent="0.3">
      <c r="A850" s="5"/>
      <c r="B850" s="5"/>
      <c r="C850" s="5"/>
    </row>
    <row r="851" spans="1:3" ht="15.75" customHeight="1" x14ac:dyDescent="0.3">
      <c r="A851" s="5"/>
      <c r="B851" s="5"/>
      <c r="C851" s="5"/>
    </row>
    <row r="852" spans="1:3" ht="15.75" customHeight="1" x14ac:dyDescent="0.3">
      <c r="A852" s="5"/>
      <c r="B852" s="5"/>
      <c r="C852" s="5"/>
    </row>
    <row r="853" spans="1:3" ht="15.75" customHeight="1" x14ac:dyDescent="0.3">
      <c r="A853" s="5"/>
      <c r="B853" s="5"/>
      <c r="C853" s="5"/>
    </row>
    <row r="854" spans="1:3" ht="15.75" customHeight="1" x14ac:dyDescent="0.3">
      <c r="A854" s="5"/>
      <c r="B854" s="5"/>
      <c r="C854" s="5"/>
    </row>
    <row r="855" spans="1:3" ht="15.75" customHeight="1" x14ac:dyDescent="0.3">
      <c r="A855" s="5"/>
      <c r="B855" s="5"/>
      <c r="C855" s="5"/>
    </row>
    <row r="856" spans="1:3" ht="15.75" customHeight="1" x14ac:dyDescent="0.3">
      <c r="A856" s="5"/>
      <c r="B856" s="5"/>
      <c r="C856" s="5"/>
    </row>
    <row r="857" spans="1:3" ht="15.75" customHeight="1" x14ac:dyDescent="0.3">
      <c r="A857" s="5"/>
      <c r="B857" s="5"/>
      <c r="C857" s="5"/>
    </row>
    <row r="858" spans="1:3" ht="15.75" customHeight="1" x14ac:dyDescent="0.3">
      <c r="A858" s="5"/>
      <c r="B858" s="5"/>
      <c r="C858" s="5"/>
    </row>
    <row r="859" spans="1:3" ht="15.75" customHeight="1" x14ac:dyDescent="0.3">
      <c r="A859" s="5"/>
      <c r="B859" s="5"/>
      <c r="C859" s="5"/>
    </row>
    <row r="860" spans="1:3" ht="15.75" customHeight="1" x14ac:dyDescent="0.3">
      <c r="A860" s="5"/>
      <c r="B860" s="5"/>
      <c r="C860" s="5"/>
    </row>
    <row r="861" spans="1:3" ht="15.75" customHeight="1" x14ac:dyDescent="0.3">
      <c r="A861" s="5"/>
      <c r="B861" s="5"/>
      <c r="C861" s="5"/>
    </row>
    <row r="862" spans="1:3" ht="15.75" customHeight="1" x14ac:dyDescent="0.3">
      <c r="A862" s="5"/>
      <c r="B862" s="5"/>
      <c r="C862" s="5"/>
    </row>
    <row r="863" spans="1:3" ht="15.75" customHeight="1" x14ac:dyDescent="0.3">
      <c r="A863" s="5"/>
      <c r="B863" s="5"/>
      <c r="C863" s="5"/>
    </row>
    <row r="864" spans="1:3" ht="15.75" customHeight="1" x14ac:dyDescent="0.3">
      <c r="A864" s="5"/>
      <c r="B864" s="5"/>
      <c r="C864" s="5"/>
    </row>
    <row r="865" spans="1:3" ht="15.75" customHeight="1" x14ac:dyDescent="0.3">
      <c r="A865" s="5"/>
      <c r="B865" s="5"/>
      <c r="C865" s="5"/>
    </row>
    <row r="866" spans="1:3" ht="15.75" customHeight="1" x14ac:dyDescent="0.3">
      <c r="A866" s="5"/>
      <c r="B866" s="5"/>
      <c r="C866" s="5"/>
    </row>
    <row r="867" spans="1:3" ht="15.75" customHeight="1" x14ac:dyDescent="0.3">
      <c r="A867" s="5"/>
      <c r="B867" s="5"/>
      <c r="C867" s="5"/>
    </row>
    <row r="868" spans="1:3" ht="15.75" customHeight="1" x14ac:dyDescent="0.3">
      <c r="A868" s="5"/>
      <c r="B868" s="5"/>
      <c r="C868" s="5"/>
    </row>
    <row r="869" spans="1:3" ht="15.75" customHeight="1" x14ac:dyDescent="0.3">
      <c r="A869" s="5"/>
      <c r="B869" s="5"/>
      <c r="C869" s="5"/>
    </row>
    <row r="870" spans="1:3" ht="15.75" customHeight="1" x14ac:dyDescent="0.3">
      <c r="A870" s="5"/>
      <c r="B870" s="5"/>
      <c r="C870" s="5"/>
    </row>
    <row r="871" spans="1:3" ht="15.75" customHeight="1" x14ac:dyDescent="0.3">
      <c r="A871" s="5"/>
      <c r="B871" s="5"/>
      <c r="C871" s="5"/>
    </row>
    <row r="872" spans="1:3" ht="15.75" customHeight="1" x14ac:dyDescent="0.3">
      <c r="A872" s="5"/>
      <c r="B872" s="5"/>
      <c r="C872" s="5"/>
    </row>
    <row r="873" spans="1:3" ht="15.75" customHeight="1" x14ac:dyDescent="0.3">
      <c r="A873" s="5"/>
      <c r="B873" s="5"/>
      <c r="C873" s="5"/>
    </row>
    <row r="874" spans="1:3" ht="15.75" customHeight="1" x14ac:dyDescent="0.3">
      <c r="A874" s="5"/>
      <c r="B874" s="5"/>
      <c r="C874" s="5"/>
    </row>
    <row r="875" spans="1:3" ht="15.75" customHeight="1" x14ac:dyDescent="0.3">
      <c r="A875" s="5"/>
      <c r="B875" s="5"/>
      <c r="C875" s="5"/>
    </row>
    <row r="876" spans="1:3" ht="15.75" customHeight="1" x14ac:dyDescent="0.3">
      <c r="A876" s="5"/>
      <c r="B876" s="5"/>
      <c r="C876" s="5"/>
    </row>
    <row r="877" spans="1:3" ht="15.75" customHeight="1" x14ac:dyDescent="0.3">
      <c r="A877" s="5"/>
      <c r="B877" s="5"/>
      <c r="C877" s="5"/>
    </row>
    <row r="878" spans="1:3" ht="15.75" customHeight="1" x14ac:dyDescent="0.3">
      <c r="A878" s="5"/>
      <c r="B878" s="5"/>
      <c r="C878" s="5"/>
    </row>
    <row r="879" spans="1:3" ht="15.75" customHeight="1" x14ac:dyDescent="0.3">
      <c r="A879" s="5"/>
      <c r="B879" s="5"/>
      <c r="C879" s="5"/>
    </row>
    <row r="880" spans="1:3" ht="15.75" customHeight="1" x14ac:dyDescent="0.3">
      <c r="A880" s="5"/>
      <c r="B880" s="5"/>
      <c r="C880" s="5"/>
    </row>
    <row r="881" spans="1:3" ht="15.75" customHeight="1" x14ac:dyDescent="0.3">
      <c r="A881" s="5"/>
      <c r="B881" s="5"/>
      <c r="C881" s="5"/>
    </row>
    <row r="882" spans="1:3" ht="15.75" customHeight="1" x14ac:dyDescent="0.3">
      <c r="A882" s="5"/>
      <c r="B882" s="5"/>
      <c r="C882" s="5"/>
    </row>
    <row r="883" spans="1:3" ht="15.75" customHeight="1" x14ac:dyDescent="0.3">
      <c r="A883" s="5"/>
      <c r="B883" s="5"/>
      <c r="C883" s="5"/>
    </row>
    <row r="884" spans="1:3" ht="15.75" customHeight="1" x14ac:dyDescent="0.3">
      <c r="A884" s="5"/>
      <c r="B884" s="5"/>
      <c r="C884" s="5"/>
    </row>
    <row r="885" spans="1:3" ht="15.75" customHeight="1" x14ac:dyDescent="0.3">
      <c r="A885" s="5"/>
      <c r="B885" s="5"/>
      <c r="C885" s="5"/>
    </row>
    <row r="886" spans="1:3" ht="15.75" customHeight="1" x14ac:dyDescent="0.3">
      <c r="A886" s="5"/>
      <c r="B886" s="5"/>
      <c r="C886" s="5"/>
    </row>
    <row r="887" spans="1:3" ht="15.75" customHeight="1" x14ac:dyDescent="0.3">
      <c r="A887" s="5"/>
      <c r="B887" s="5"/>
      <c r="C887" s="5"/>
    </row>
    <row r="888" spans="1:3" ht="15.75" customHeight="1" x14ac:dyDescent="0.3">
      <c r="A888" s="5"/>
      <c r="B888" s="5"/>
      <c r="C888" s="5"/>
    </row>
    <row r="889" spans="1:3" ht="15.75" customHeight="1" x14ac:dyDescent="0.3">
      <c r="A889" s="5"/>
      <c r="B889" s="5"/>
      <c r="C889" s="5"/>
    </row>
    <row r="890" spans="1:3" ht="15.75" customHeight="1" x14ac:dyDescent="0.3">
      <c r="A890" s="5"/>
      <c r="B890" s="5"/>
      <c r="C890" s="5"/>
    </row>
    <row r="891" spans="1:3" ht="15.75" customHeight="1" x14ac:dyDescent="0.3">
      <c r="A891" s="5"/>
      <c r="B891" s="5"/>
      <c r="C891" s="5"/>
    </row>
    <row r="892" spans="1:3" ht="15.75" customHeight="1" x14ac:dyDescent="0.3">
      <c r="A892" s="5"/>
      <c r="B892" s="5"/>
      <c r="C892" s="5"/>
    </row>
    <row r="893" spans="1:3" ht="15.75" customHeight="1" x14ac:dyDescent="0.3">
      <c r="A893" s="5"/>
      <c r="B893" s="5"/>
      <c r="C893" s="5"/>
    </row>
    <row r="894" spans="1:3" ht="15.75" customHeight="1" x14ac:dyDescent="0.3">
      <c r="A894" s="5"/>
      <c r="B894" s="5"/>
      <c r="C894" s="5"/>
    </row>
    <row r="895" spans="1:3" ht="15.75" customHeight="1" x14ac:dyDescent="0.3">
      <c r="A895" s="5"/>
      <c r="B895" s="5"/>
      <c r="C895" s="5"/>
    </row>
    <row r="896" spans="1:3" ht="15.75" customHeight="1" x14ac:dyDescent="0.3">
      <c r="A896" s="5"/>
      <c r="B896" s="5"/>
      <c r="C896" s="5"/>
    </row>
    <row r="897" spans="1:3" ht="15.75" customHeight="1" x14ac:dyDescent="0.3">
      <c r="A897" s="5"/>
      <c r="B897" s="5"/>
      <c r="C897" s="5"/>
    </row>
    <row r="898" spans="1:3" ht="15.75" customHeight="1" x14ac:dyDescent="0.3">
      <c r="A898" s="5"/>
      <c r="B898" s="5"/>
      <c r="C898" s="5"/>
    </row>
    <row r="899" spans="1:3" ht="15.75" customHeight="1" x14ac:dyDescent="0.3">
      <c r="A899" s="5"/>
      <c r="B899" s="5"/>
      <c r="C899" s="5"/>
    </row>
    <row r="900" spans="1:3" ht="15.75" customHeight="1" x14ac:dyDescent="0.3">
      <c r="A900" s="5"/>
      <c r="B900" s="5"/>
      <c r="C900" s="5"/>
    </row>
    <row r="901" spans="1:3" ht="15.75" customHeight="1" x14ac:dyDescent="0.3">
      <c r="A901" s="5"/>
      <c r="B901" s="5"/>
      <c r="C901" s="5"/>
    </row>
    <row r="902" spans="1:3" ht="15.75" customHeight="1" x14ac:dyDescent="0.3">
      <c r="A902" s="5"/>
      <c r="B902" s="5"/>
      <c r="C902" s="5"/>
    </row>
    <row r="903" spans="1:3" ht="15.75" customHeight="1" x14ac:dyDescent="0.3">
      <c r="A903" s="5"/>
      <c r="B903" s="5"/>
      <c r="C903" s="5"/>
    </row>
    <row r="904" spans="1:3" ht="15.75" customHeight="1" x14ac:dyDescent="0.3">
      <c r="A904" s="5"/>
      <c r="B904" s="5"/>
      <c r="C904" s="5"/>
    </row>
    <row r="905" spans="1:3" ht="15.75" customHeight="1" x14ac:dyDescent="0.3">
      <c r="A905" s="5"/>
      <c r="B905" s="5"/>
      <c r="C905" s="5"/>
    </row>
    <row r="906" spans="1:3" ht="15.75" customHeight="1" x14ac:dyDescent="0.3">
      <c r="A906" s="5"/>
      <c r="B906" s="5"/>
      <c r="C906" s="5"/>
    </row>
    <row r="907" spans="1:3" ht="15.75" customHeight="1" x14ac:dyDescent="0.3">
      <c r="A907" s="5"/>
      <c r="B907" s="5"/>
      <c r="C907" s="5"/>
    </row>
    <row r="908" spans="1:3" ht="15.75" customHeight="1" x14ac:dyDescent="0.3">
      <c r="A908" s="5"/>
      <c r="B908" s="5"/>
      <c r="C908" s="5"/>
    </row>
    <row r="909" spans="1:3" ht="15.75" customHeight="1" x14ac:dyDescent="0.3">
      <c r="A909" s="5"/>
      <c r="B909" s="5"/>
      <c r="C909" s="5"/>
    </row>
    <row r="910" spans="1:3" ht="15.75" customHeight="1" x14ac:dyDescent="0.3">
      <c r="A910" s="5"/>
      <c r="B910" s="5"/>
      <c r="C910" s="5"/>
    </row>
    <row r="911" spans="1:3" ht="15.75" customHeight="1" x14ac:dyDescent="0.3">
      <c r="A911" s="5"/>
      <c r="B911" s="5"/>
      <c r="C911" s="5"/>
    </row>
    <row r="912" spans="1:3" ht="15.75" customHeight="1" x14ac:dyDescent="0.3">
      <c r="A912" s="5"/>
      <c r="B912" s="5"/>
      <c r="C912" s="5"/>
    </row>
    <row r="913" spans="1:3" ht="15.75" customHeight="1" x14ac:dyDescent="0.3">
      <c r="A913" s="5"/>
      <c r="B913" s="5"/>
      <c r="C913" s="5"/>
    </row>
    <row r="914" spans="1:3" ht="15.75" customHeight="1" x14ac:dyDescent="0.3">
      <c r="A914" s="5"/>
      <c r="B914" s="5"/>
      <c r="C914" s="5"/>
    </row>
    <row r="915" spans="1:3" ht="15.75" customHeight="1" x14ac:dyDescent="0.3">
      <c r="A915" s="5"/>
      <c r="B915" s="5"/>
      <c r="C915" s="5"/>
    </row>
    <row r="916" spans="1:3" ht="15.75" customHeight="1" x14ac:dyDescent="0.3">
      <c r="A916" s="5"/>
      <c r="B916" s="5"/>
      <c r="C916" s="5"/>
    </row>
    <row r="917" spans="1:3" ht="15.75" customHeight="1" x14ac:dyDescent="0.3">
      <c r="A917" s="5"/>
      <c r="B917" s="5"/>
      <c r="C917" s="5"/>
    </row>
    <row r="918" spans="1:3" ht="15.75" customHeight="1" x14ac:dyDescent="0.3">
      <c r="A918" s="5"/>
      <c r="B918" s="5"/>
      <c r="C918" s="5"/>
    </row>
    <row r="919" spans="1:3" ht="15.75" customHeight="1" x14ac:dyDescent="0.3">
      <c r="A919" s="5"/>
      <c r="B919" s="5"/>
      <c r="C919" s="5"/>
    </row>
    <row r="920" spans="1:3" ht="15.75" customHeight="1" x14ac:dyDescent="0.3">
      <c r="A920" s="5"/>
      <c r="B920" s="5"/>
      <c r="C920" s="5"/>
    </row>
    <row r="921" spans="1:3" ht="15.75" customHeight="1" x14ac:dyDescent="0.3">
      <c r="A921" s="5"/>
      <c r="B921" s="5"/>
      <c r="C921" s="5"/>
    </row>
    <row r="922" spans="1:3" ht="15.75" customHeight="1" x14ac:dyDescent="0.3">
      <c r="A922" s="5"/>
      <c r="B922" s="5"/>
      <c r="C922" s="5"/>
    </row>
    <row r="923" spans="1:3" ht="15.75" customHeight="1" x14ac:dyDescent="0.3">
      <c r="A923" s="5"/>
      <c r="B923" s="5"/>
      <c r="C923" s="5"/>
    </row>
    <row r="924" spans="1:3" ht="15.75" customHeight="1" x14ac:dyDescent="0.3">
      <c r="A924" s="5"/>
      <c r="B924" s="5"/>
      <c r="C924" s="5"/>
    </row>
    <row r="925" spans="1:3" ht="15.75" customHeight="1" x14ac:dyDescent="0.3">
      <c r="A925" s="5"/>
      <c r="B925" s="5"/>
      <c r="C925" s="5"/>
    </row>
    <row r="926" spans="1:3" ht="15.75" customHeight="1" x14ac:dyDescent="0.3">
      <c r="A926" s="5"/>
      <c r="B926" s="5"/>
      <c r="C926" s="5"/>
    </row>
    <row r="927" spans="1:3" ht="15.75" customHeight="1" x14ac:dyDescent="0.3">
      <c r="A927" s="5"/>
      <c r="B927" s="5"/>
      <c r="C927" s="5"/>
    </row>
    <row r="928" spans="1:3" ht="15.75" customHeight="1" x14ac:dyDescent="0.3">
      <c r="A928" s="5"/>
      <c r="B928" s="5"/>
      <c r="C928" s="5"/>
    </row>
    <row r="929" spans="1:3" ht="15.75" customHeight="1" x14ac:dyDescent="0.3">
      <c r="A929" s="5"/>
      <c r="B929" s="5"/>
      <c r="C929" s="5"/>
    </row>
    <row r="930" spans="1:3" ht="15.75" customHeight="1" x14ac:dyDescent="0.3">
      <c r="A930" s="5"/>
      <c r="B930" s="5"/>
      <c r="C930" s="5"/>
    </row>
    <row r="931" spans="1:3" ht="15.75" customHeight="1" x14ac:dyDescent="0.3">
      <c r="A931" s="5"/>
      <c r="B931" s="5"/>
      <c r="C931" s="5"/>
    </row>
    <row r="932" spans="1:3" ht="15.75" customHeight="1" x14ac:dyDescent="0.3">
      <c r="A932" s="5"/>
      <c r="B932" s="5"/>
      <c r="C932" s="5"/>
    </row>
    <row r="933" spans="1:3" ht="15.75" customHeight="1" x14ac:dyDescent="0.3">
      <c r="A933" s="5"/>
      <c r="B933" s="5"/>
      <c r="C933" s="5"/>
    </row>
    <row r="934" spans="1:3" ht="15.75" customHeight="1" x14ac:dyDescent="0.3">
      <c r="A934" s="5"/>
      <c r="B934" s="5"/>
      <c r="C934" s="5"/>
    </row>
    <row r="935" spans="1:3" ht="15.75" customHeight="1" x14ac:dyDescent="0.3">
      <c r="A935" s="5"/>
      <c r="B935" s="5"/>
      <c r="C935" s="5"/>
    </row>
    <row r="936" spans="1:3" ht="15.75" customHeight="1" x14ac:dyDescent="0.3">
      <c r="A936" s="5"/>
      <c r="B936" s="5"/>
      <c r="C936" s="5"/>
    </row>
    <row r="937" spans="1:3" ht="15.75" customHeight="1" x14ac:dyDescent="0.3">
      <c r="A937" s="5"/>
      <c r="B937" s="5"/>
      <c r="C937" s="5"/>
    </row>
    <row r="938" spans="1:3" ht="15.75" customHeight="1" x14ac:dyDescent="0.3">
      <c r="A938" s="5"/>
      <c r="B938" s="5"/>
      <c r="C938" s="5"/>
    </row>
    <row r="939" spans="1:3" ht="15.75" customHeight="1" x14ac:dyDescent="0.3">
      <c r="A939" s="5"/>
      <c r="B939" s="5"/>
      <c r="C939" s="5"/>
    </row>
    <row r="940" spans="1:3" ht="15.75" customHeight="1" x14ac:dyDescent="0.3">
      <c r="A940" s="5"/>
      <c r="B940" s="5"/>
      <c r="C940" s="5"/>
    </row>
    <row r="941" spans="1:3" ht="15.75" customHeight="1" x14ac:dyDescent="0.3">
      <c r="A941" s="5"/>
      <c r="B941" s="5"/>
      <c r="C941" s="5"/>
    </row>
    <row r="942" spans="1:3" ht="15.75" customHeight="1" x14ac:dyDescent="0.3">
      <c r="A942" s="5"/>
      <c r="B942" s="5"/>
      <c r="C942" s="5"/>
    </row>
    <row r="943" spans="1:3" ht="15.75" customHeight="1" x14ac:dyDescent="0.3">
      <c r="A943" s="5"/>
      <c r="B943" s="5"/>
      <c r="C943" s="5"/>
    </row>
    <row r="944" spans="1:3" ht="15.75" customHeight="1" x14ac:dyDescent="0.3">
      <c r="A944" s="5"/>
      <c r="B944" s="5"/>
      <c r="C944" s="5"/>
    </row>
    <row r="945" spans="1:3" ht="15.75" customHeight="1" x14ac:dyDescent="0.3">
      <c r="A945" s="5"/>
      <c r="B945" s="5"/>
      <c r="C945" s="5"/>
    </row>
    <row r="946" spans="1:3" ht="15.75" customHeight="1" x14ac:dyDescent="0.3">
      <c r="A946" s="5"/>
      <c r="B946" s="5"/>
      <c r="C946" s="5"/>
    </row>
    <row r="947" spans="1:3" ht="15.75" customHeight="1" x14ac:dyDescent="0.3">
      <c r="A947" s="5"/>
      <c r="B947" s="5"/>
      <c r="C947" s="5"/>
    </row>
    <row r="948" spans="1:3" ht="15.75" customHeight="1" x14ac:dyDescent="0.3">
      <c r="A948" s="5"/>
      <c r="B948" s="5"/>
      <c r="C948" s="5"/>
    </row>
    <row r="949" spans="1:3" ht="15.75" customHeight="1" x14ac:dyDescent="0.3">
      <c r="A949" s="5"/>
      <c r="B949" s="5"/>
      <c r="C949" s="5"/>
    </row>
    <row r="950" spans="1:3" ht="15.75" customHeight="1" x14ac:dyDescent="0.3">
      <c r="A950" s="5"/>
      <c r="B950" s="5"/>
      <c r="C950" s="5"/>
    </row>
    <row r="951" spans="1:3" ht="15.75" customHeight="1" x14ac:dyDescent="0.3">
      <c r="A951" s="5"/>
      <c r="B951" s="5"/>
      <c r="C951" s="5"/>
    </row>
    <row r="952" spans="1:3" ht="15.75" customHeight="1" x14ac:dyDescent="0.3">
      <c r="A952" s="5"/>
      <c r="B952" s="5"/>
      <c r="C952" s="5"/>
    </row>
    <row r="953" spans="1:3" ht="15.75" customHeight="1" x14ac:dyDescent="0.3">
      <c r="A953" s="5"/>
      <c r="B953" s="5"/>
      <c r="C953" s="5"/>
    </row>
    <row r="954" spans="1:3" ht="15.75" customHeight="1" x14ac:dyDescent="0.3">
      <c r="A954" s="5"/>
      <c r="B954" s="5"/>
      <c r="C954" s="5"/>
    </row>
    <row r="955" spans="1:3" ht="15.75" customHeight="1" x14ac:dyDescent="0.3">
      <c r="A955" s="5"/>
      <c r="B955" s="5"/>
      <c r="C955" s="5"/>
    </row>
    <row r="956" spans="1:3" ht="15.75" customHeight="1" x14ac:dyDescent="0.3">
      <c r="A956" s="5"/>
      <c r="B956" s="5"/>
      <c r="C956" s="5"/>
    </row>
    <row r="957" spans="1:3" ht="15.75" customHeight="1" x14ac:dyDescent="0.3">
      <c r="A957" s="5"/>
      <c r="B957" s="5"/>
      <c r="C957" s="5"/>
    </row>
    <row r="958" spans="1:3" ht="15.75" customHeight="1" x14ac:dyDescent="0.3">
      <c r="A958" s="5"/>
      <c r="B958" s="5"/>
      <c r="C958" s="5"/>
    </row>
    <row r="959" spans="1:3" ht="15.75" customHeight="1" x14ac:dyDescent="0.3">
      <c r="A959" s="5"/>
      <c r="B959" s="5"/>
      <c r="C959" s="5"/>
    </row>
    <row r="960" spans="1:3" ht="15.75" customHeight="1" x14ac:dyDescent="0.3">
      <c r="A960" s="5"/>
      <c r="B960" s="5"/>
      <c r="C960" s="5"/>
    </row>
    <row r="961" spans="1:3" ht="15.75" customHeight="1" x14ac:dyDescent="0.3">
      <c r="A961" s="5"/>
      <c r="B961" s="5"/>
      <c r="C961" s="5"/>
    </row>
    <row r="962" spans="1:3" ht="15.75" customHeight="1" x14ac:dyDescent="0.3">
      <c r="A962" s="5"/>
      <c r="B962" s="5"/>
      <c r="C962" s="5"/>
    </row>
    <row r="963" spans="1:3" ht="15.75" customHeight="1" x14ac:dyDescent="0.3">
      <c r="A963" s="5"/>
      <c r="B963" s="5"/>
      <c r="C963" s="5"/>
    </row>
    <row r="964" spans="1:3" ht="15.75" customHeight="1" x14ac:dyDescent="0.3">
      <c r="A964" s="5"/>
      <c r="B964" s="5"/>
      <c r="C964" s="5"/>
    </row>
    <row r="965" spans="1:3" ht="15.75" customHeight="1" x14ac:dyDescent="0.3">
      <c r="A965" s="5"/>
      <c r="B965" s="5"/>
      <c r="C965" s="5"/>
    </row>
    <row r="966" spans="1:3" ht="15.75" customHeight="1" x14ac:dyDescent="0.3">
      <c r="A966" s="5"/>
      <c r="B966" s="5"/>
      <c r="C966" s="5"/>
    </row>
    <row r="967" spans="1:3" ht="15.75" customHeight="1" x14ac:dyDescent="0.3">
      <c r="A967" s="5"/>
      <c r="B967" s="5"/>
      <c r="C967" s="5"/>
    </row>
    <row r="968" spans="1:3" ht="15.75" customHeight="1" x14ac:dyDescent="0.3">
      <c r="A968" s="5"/>
      <c r="B968" s="5"/>
      <c r="C968" s="5"/>
    </row>
    <row r="969" spans="1:3" ht="15.75" customHeight="1" x14ac:dyDescent="0.3">
      <c r="A969" s="5"/>
      <c r="B969" s="5"/>
      <c r="C969" s="5"/>
    </row>
    <row r="970" spans="1:3" ht="15.75" customHeight="1" x14ac:dyDescent="0.3">
      <c r="A970" s="5"/>
      <c r="B970" s="5"/>
      <c r="C970" s="5"/>
    </row>
    <row r="971" spans="1:3" ht="15.75" customHeight="1" x14ac:dyDescent="0.3">
      <c r="A971" s="5"/>
      <c r="B971" s="5"/>
      <c r="C971" s="5"/>
    </row>
    <row r="972" spans="1:3" ht="15.75" customHeight="1" x14ac:dyDescent="0.3">
      <c r="A972" s="5"/>
      <c r="B972" s="5"/>
      <c r="C972" s="5"/>
    </row>
    <row r="973" spans="1:3" ht="15.75" customHeight="1" x14ac:dyDescent="0.3">
      <c r="A973" s="5"/>
      <c r="B973" s="5"/>
      <c r="C973" s="5"/>
    </row>
    <row r="974" spans="1:3" ht="15.75" customHeight="1" x14ac:dyDescent="0.3">
      <c r="A974" s="5"/>
      <c r="B974" s="5"/>
      <c r="C974" s="5"/>
    </row>
    <row r="975" spans="1:3" ht="15.75" customHeight="1" x14ac:dyDescent="0.3">
      <c r="A975" s="5"/>
      <c r="B975" s="5"/>
      <c r="C975" s="5"/>
    </row>
    <row r="976" spans="1:3" ht="15.75" customHeight="1" x14ac:dyDescent="0.3">
      <c r="A976" s="5"/>
      <c r="B976" s="5"/>
      <c r="C976" s="5"/>
    </row>
    <row r="977" spans="1:3" ht="15.75" customHeight="1" x14ac:dyDescent="0.3">
      <c r="A977" s="5"/>
      <c r="B977" s="5"/>
      <c r="C977" s="5"/>
    </row>
    <row r="978" spans="1:3" ht="15.75" customHeight="1" x14ac:dyDescent="0.3">
      <c r="A978" s="5"/>
      <c r="B978" s="5"/>
      <c r="C978" s="5"/>
    </row>
    <row r="979" spans="1:3" ht="15.75" customHeight="1" x14ac:dyDescent="0.3">
      <c r="A979" s="5"/>
      <c r="B979" s="5"/>
      <c r="C979" s="5"/>
    </row>
    <row r="980" spans="1:3" ht="15.75" customHeight="1" x14ac:dyDescent="0.3">
      <c r="A980" s="5"/>
      <c r="B980" s="5"/>
      <c r="C980" s="5"/>
    </row>
    <row r="981" spans="1:3" ht="15.75" customHeight="1" x14ac:dyDescent="0.3">
      <c r="A981" s="5"/>
      <c r="B981" s="5"/>
      <c r="C981" s="5"/>
    </row>
    <row r="982" spans="1:3" ht="15.75" customHeight="1" x14ac:dyDescent="0.3">
      <c r="A982" s="5"/>
      <c r="B982" s="5"/>
      <c r="C982" s="5"/>
    </row>
    <row r="983" spans="1:3" ht="15.75" customHeight="1" x14ac:dyDescent="0.3">
      <c r="A983" s="5"/>
      <c r="B983" s="5"/>
      <c r="C983" s="5"/>
    </row>
    <row r="984" spans="1:3" ht="15.75" customHeight="1" x14ac:dyDescent="0.3">
      <c r="A984" s="5"/>
      <c r="B984" s="5"/>
      <c r="C984" s="5"/>
    </row>
    <row r="985" spans="1:3" ht="15.75" customHeight="1" x14ac:dyDescent="0.3">
      <c r="A985" s="5"/>
      <c r="B985" s="5"/>
      <c r="C985" s="5"/>
    </row>
    <row r="986" spans="1:3" ht="15.75" customHeight="1" x14ac:dyDescent="0.3">
      <c r="A986" s="5"/>
      <c r="B986" s="5"/>
      <c r="C986" s="5"/>
    </row>
    <row r="987" spans="1:3" ht="15.75" customHeight="1" x14ac:dyDescent="0.3">
      <c r="A987" s="5"/>
      <c r="B987" s="5"/>
      <c r="C987" s="5"/>
    </row>
    <row r="988" spans="1:3" ht="15.75" customHeight="1" x14ac:dyDescent="0.3">
      <c r="A988" s="5"/>
      <c r="B988" s="5"/>
      <c r="C988" s="5"/>
    </row>
    <row r="989" spans="1:3" ht="15.75" customHeight="1" x14ac:dyDescent="0.3">
      <c r="A989" s="5"/>
      <c r="B989" s="5"/>
      <c r="C989" s="5"/>
    </row>
    <row r="990" spans="1:3" ht="15.75" customHeight="1" x14ac:dyDescent="0.3">
      <c r="A990" s="5"/>
      <c r="B990" s="5"/>
      <c r="C990" s="5"/>
    </row>
    <row r="991" spans="1:3" ht="15.75" customHeight="1" x14ac:dyDescent="0.3">
      <c r="A991" s="5"/>
      <c r="B991" s="5"/>
      <c r="C991" s="5"/>
    </row>
    <row r="992" spans="1:3" ht="15.75" customHeight="1" x14ac:dyDescent="0.3">
      <c r="A992" s="5"/>
      <c r="B992" s="5"/>
      <c r="C992" s="5"/>
    </row>
    <row r="993" spans="1:3" ht="15.75" customHeight="1" x14ac:dyDescent="0.3">
      <c r="A993" s="5"/>
      <c r="B993" s="5"/>
      <c r="C993" s="5"/>
    </row>
    <row r="994" spans="1:3" ht="15.75" customHeight="1" x14ac:dyDescent="0.3">
      <c r="A994" s="5"/>
      <c r="B994" s="5"/>
      <c r="C994" s="5"/>
    </row>
    <row r="995" spans="1:3" ht="15.75" customHeight="1" x14ac:dyDescent="0.3">
      <c r="A995" s="5"/>
      <c r="B995" s="5"/>
      <c r="C995" s="5"/>
    </row>
    <row r="996" spans="1:3" ht="15.75" customHeight="1" x14ac:dyDescent="0.3">
      <c r="A996" s="5"/>
      <c r="B996" s="5"/>
      <c r="C996" s="5"/>
    </row>
    <row r="997" spans="1:3" ht="15.75" customHeight="1" x14ac:dyDescent="0.3">
      <c r="A997" s="5"/>
      <c r="B997" s="5"/>
      <c r="C997" s="5"/>
    </row>
    <row r="998" spans="1:3" ht="15.75" customHeight="1" x14ac:dyDescent="0.3">
      <c r="A998" s="5"/>
      <c r="B998" s="5"/>
      <c r="C998" s="5"/>
    </row>
    <row r="999" spans="1:3" ht="15.75" customHeight="1" x14ac:dyDescent="0.3">
      <c r="A999" s="5"/>
      <c r="B999" s="5"/>
      <c r="C999" s="5"/>
    </row>
    <row r="1000" spans="1:3" ht="15.75" customHeight="1" x14ac:dyDescent="0.3">
      <c r="A1000" s="5"/>
      <c r="B1000" s="5"/>
      <c r="C1000" s="5"/>
    </row>
  </sheetData>
  <mergeCells count="7">
    <mergeCell ref="B29:C29"/>
    <mergeCell ref="B35:C35"/>
    <mergeCell ref="B1:C1"/>
    <mergeCell ref="B2:C2"/>
    <mergeCell ref="B4:C4"/>
    <mergeCell ref="B8:C8"/>
    <mergeCell ref="B20:C20"/>
  </mergeCells>
  <pageMargins left="0.75" right="0.75" top="1" bottom="1"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000"/>
  <sheetViews>
    <sheetView showGridLines="0" workbookViewId="0"/>
  </sheetViews>
  <sheetFormatPr defaultColWidth="14.44140625" defaultRowHeight="15" customHeight="1" x14ac:dyDescent="0.3"/>
  <cols>
    <col min="1" max="1" width="3" customWidth="1"/>
    <col min="2" max="2" width="32" customWidth="1"/>
    <col min="3" max="3" width="16" customWidth="1"/>
    <col min="4" max="4" width="14" customWidth="1"/>
    <col min="5" max="26" width="8.6640625" customWidth="1"/>
  </cols>
  <sheetData>
    <row r="1" spans="1:4" ht="14.4" x14ac:dyDescent="0.3">
      <c r="A1" s="5"/>
      <c r="B1" s="5"/>
      <c r="C1" s="5"/>
      <c r="D1" s="5"/>
    </row>
    <row r="2" spans="1:4" ht="19.5" customHeight="1" x14ac:dyDescent="0.4">
      <c r="A2" s="5"/>
      <c r="B2" s="6" t="s">
        <v>1174</v>
      </c>
      <c r="C2" s="5"/>
      <c r="D2" s="5"/>
    </row>
    <row r="3" spans="1:4" ht="15" customHeight="1" x14ac:dyDescent="0.3">
      <c r="A3" s="5"/>
      <c r="B3" s="7" t="s">
        <v>1175</v>
      </c>
      <c r="C3" s="5"/>
      <c r="D3" s="5"/>
    </row>
    <row r="4" spans="1:4" ht="14.4" x14ac:dyDescent="0.3">
      <c r="A4" s="5"/>
      <c r="B4" s="5"/>
      <c r="C4" s="5"/>
      <c r="D4" s="5"/>
    </row>
    <row r="5" spans="1:4" ht="15" customHeight="1" x14ac:dyDescent="0.3">
      <c r="A5" s="5"/>
      <c r="B5" s="1" t="s">
        <v>1176</v>
      </c>
      <c r="C5" s="1" t="s">
        <v>1177</v>
      </c>
      <c r="D5" s="1" t="s">
        <v>1178</v>
      </c>
    </row>
    <row r="6" spans="1:4" ht="15" customHeight="1" x14ac:dyDescent="0.3">
      <c r="A6" s="5"/>
      <c r="B6" s="12" t="s">
        <v>1179</v>
      </c>
      <c r="C6" s="13">
        <f>COUNTA(PRC_Master_Index!$A$2:$A$10001)</f>
        <v>83</v>
      </c>
      <c r="D6" s="14" t="s">
        <v>1180</v>
      </c>
    </row>
    <row r="7" spans="1:4" ht="15" customHeight="1" x14ac:dyDescent="0.3">
      <c r="A7" s="5"/>
      <c r="B7" s="15" t="s">
        <v>1181</v>
      </c>
      <c r="C7" s="16">
        <f>COUNTIF(PRC_Master_Index!$N$2:$N$10001,"Accepted")</f>
        <v>31</v>
      </c>
      <c r="D7" s="17">
        <f t="shared" ref="D7:D12" si="0">IF($C$6=0,0,C7/$C$6)</f>
        <v>0.37349397590361444</v>
      </c>
    </row>
    <row r="8" spans="1:4" ht="15" customHeight="1" x14ac:dyDescent="0.3">
      <c r="A8" s="5"/>
      <c r="B8" s="12" t="s">
        <v>1182</v>
      </c>
      <c r="C8" s="13">
        <f>COUNTIF(PRC_Master_Index!$N$2:$N$10001,"Rejected")</f>
        <v>1</v>
      </c>
      <c r="D8" s="18">
        <f t="shared" si="0"/>
        <v>1.2048192771084338E-2</v>
      </c>
    </row>
    <row r="9" spans="1:4" ht="15" customHeight="1" x14ac:dyDescent="0.3">
      <c r="A9" s="5"/>
      <c r="B9" s="15" t="s">
        <v>1183</v>
      </c>
      <c r="C9" s="16">
        <f>COUNTIF(PRC_Master_Index!$N$2:$N$10001,"Partly Allowed")</f>
        <v>5</v>
      </c>
      <c r="D9" s="17">
        <f t="shared" si="0"/>
        <v>6.0240963855421686E-2</v>
      </c>
    </row>
    <row r="10" spans="1:4" ht="15" customHeight="1" x14ac:dyDescent="0.3">
      <c r="A10" s="5"/>
      <c r="B10" s="12" t="s">
        <v>1184</v>
      </c>
      <c r="C10" s="13">
        <f>COUNTIF(PRC_Master_Index!$AE$2:$AE$10001,"Pending")</f>
        <v>1</v>
      </c>
      <c r="D10" s="18">
        <f t="shared" si="0"/>
        <v>1.2048192771084338E-2</v>
      </c>
    </row>
    <row r="11" spans="1:4" ht="15" customHeight="1" x14ac:dyDescent="0.3">
      <c r="A11" s="5"/>
      <c r="B11" s="15" t="s">
        <v>1185</v>
      </c>
      <c r="C11" s="16">
        <f>COUNTIF(PRC_Master_Index!$AC$2:$AC$10001,"Verified")</f>
        <v>0</v>
      </c>
      <c r="D11" s="17">
        <f t="shared" si="0"/>
        <v>0</v>
      </c>
    </row>
    <row r="12" spans="1:4" ht="15" customHeight="1" x14ac:dyDescent="0.3">
      <c r="A12" s="5"/>
      <c r="B12" s="12" t="s">
        <v>1186</v>
      </c>
      <c r="C12" s="13">
        <f>COUNTIF(PRC_Master_Index!$AD$2:$AD$10001,"Duplicate")</f>
        <v>0</v>
      </c>
      <c r="D12" s="18">
        <f t="shared" si="0"/>
        <v>0</v>
      </c>
    </row>
    <row r="13" spans="1:4" ht="14.4" x14ac:dyDescent="0.3">
      <c r="A13" s="5"/>
      <c r="B13" s="5"/>
      <c r="C13" s="5"/>
      <c r="D13" s="5"/>
    </row>
    <row r="14" spans="1:4" ht="14.4" x14ac:dyDescent="0.3">
      <c r="A14" s="5"/>
      <c r="B14" s="5"/>
      <c r="C14" s="5"/>
      <c r="D14" s="5"/>
    </row>
    <row r="15" spans="1:4" ht="15" customHeight="1" x14ac:dyDescent="0.3">
      <c r="A15" s="5"/>
      <c r="B15" s="19" t="s">
        <v>1187</v>
      </c>
      <c r="C15" s="5"/>
      <c r="D15" s="5"/>
    </row>
    <row r="16" spans="1:4" ht="15" customHeight="1" x14ac:dyDescent="0.3">
      <c r="A16" s="5"/>
      <c r="B16" s="8" t="s">
        <v>13</v>
      </c>
      <c r="C16" s="8" t="s">
        <v>1177</v>
      </c>
      <c r="D16" s="8" t="s">
        <v>1178</v>
      </c>
    </row>
    <row r="17" spans="1:4" ht="15" customHeight="1" x14ac:dyDescent="0.3">
      <c r="A17" s="5"/>
      <c r="B17" s="9" t="s">
        <v>80</v>
      </c>
      <c r="C17" s="13">
        <f>COUNTIF(PRC_Master_Index!$N$2:$N$10001,"Accepted")</f>
        <v>31</v>
      </c>
      <c r="D17" s="18">
        <f t="shared" ref="D17:D23" si="1">IF($C$6=0,0,C17/$C$6)</f>
        <v>0.37349397590361444</v>
      </c>
    </row>
    <row r="18" spans="1:4" ht="15" customHeight="1" x14ac:dyDescent="0.3">
      <c r="A18" s="5"/>
      <c r="B18" s="20" t="s">
        <v>1077</v>
      </c>
      <c r="C18" s="16">
        <f>COUNTIF(PRC_Master_Index!$N$2:$N$10001,"Rejected")</f>
        <v>1</v>
      </c>
      <c r="D18" s="17">
        <f t="shared" si="1"/>
        <v>1.2048192771084338E-2</v>
      </c>
    </row>
    <row r="19" spans="1:4" ht="15" customHeight="1" x14ac:dyDescent="0.3">
      <c r="A19" s="5"/>
      <c r="B19" s="9" t="s">
        <v>469</v>
      </c>
      <c r="C19" s="13">
        <f>COUNTIF(PRC_Master_Index!$N$2:$N$10001,"Partly Allowed")</f>
        <v>5</v>
      </c>
      <c r="D19" s="18">
        <f t="shared" si="1"/>
        <v>6.0240963855421686E-2</v>
      </c>
    </row>
    <row r="20" spans="1:4" ht="15" customHeight="1" x14ac:dyDescent="0.3">
      <c r="A20" s="5"/>
      <c r="B20" s="20" t="s">
        <v>41</v>
      </c>
      <c r="C20" s="16">
        <f>COUNTIF(PRC_Master_Index!$N$2:$N$10001,"Withdrawn")</f>
        <v>21</v>
      </c>
      <c r="D20" s="17">
        <f t="shared" si="1"/>
        <v>0.25301204819277107</v>
      </c>
    </row>
    <row r="21" spans="1:4" ht="15" customHeight="1" x14ac:dyDescent="0.3">
      <c r="A21" s="5"/>
      <c r="B21" s="9" t="s">
        <v>555</v>
      </c>
      <c r="C21" s="13">
        <f>COUNTIF(PRC_Master_Index!$N$2:$N$10001,"Remanded")</f>
        <v>1</v>
      </c>
      <c r="D21" s="18">
        <f t="shared" si="1"/>
        <v>1.2048192771084338E-2</v>
      </c>
    </row>
    <row r="22" spans="1:4" ht="15" customHeight="1" x14ac:dyDescent="0.3">
      <c r="A22" s="5"/>
      <c r="B22" s="20" t="s">
        <v>176</v>
      </c>
      <c r="C22" s="16">
        <f>COUNTIF(PRC_Master_Index!$N$2:$N$10001,"Dismissed")</f>
        <v>23</v>
      </c>
      <c r="D22" s="17">
        <f t="shared" si="1"/>
        <v>0.27710843373493976</v>
      </c>
    </row>
    <row r="23" spans="1:4" ht="15" customHeight="1" x14ac:dyDescent="0.3">
      <c r="A23" s="5"/>
      <c r="B23" s="9" t="s">
        <v>1088</v>
      </c>
      <c r="C23" s="13">
        <f>COUNTIF(PRC_Master_Index!$N$2:$N$10001,"Pending")</f>
        <v>0</v>
      </c>
      <c r="D23" s="18">
        <f t="shared" si="1"/>
        <v>0</v>
      </c>
    </row>
    <row r="24" spans="1:4" ht="15.75" customHeight="1" x14ac:dyDescent="0.3">
      <c r="A24" s="5"/>
      <c r="B24" s="5"/>
      <c r="C24" s="5"/>
      <c r="D24" s="5"/>
    </row>
    <row r="25" spans="1:4" ht="15.75" customHeight="1" x14ac:dyDescent="0.3">
      <c r="A25" s="5"/>
      <c r="B25" s="5"/>
      <c r="C25" s="5"/>
      <c r="D25" s="5"/>
    </row>
    <row r="26" spans="1:4" ht="15" customHeight="1" x14ac:dyDescent="0.3">
      <c r="A26" s="5"/>
      <c r="B26" s="19" t="s">
        <v>1188</v>
      </c>
      <c r="C26" s="5"/>
      <c r="D26" s="5"/>
    </row>
    <row r="27" spans="1:4" ht="15" customHeight="1" x14ac:dyDescent="0.3">
      <c r="A27" s="5"/>
      <c r="B27" s="8" t="s">
        <v>30</v>
      </c>
      <c r="C27" s="8" t="s">
        <v>1177</v>
      </c>
      <c r="D27" s="8" t="s">
        <v>1178</v>
      </c>
    </row>
    <row r="28" spans="1:4" ht="15" customHeight="1" x14ac:dyDescent="0.3">
      <c r="A28" s="5"/>
      <c r="B28" s="9" t="s">
        <v>1088</v>
      </c>
      <c r="C28" s="13">
        <f>COUNTIF(PRC_Master_Index!$AE$2:$AE$10001,"Pending")</f>
        <v>1</v>
      </c>
      <c r="D28" s="18">
        <f t="shared" ref="D28:D33" si="2">IF($C$6=0,0,C28/$C$6)</f>
        <v>1.2048192771084338E-2</v>
      </c>
    </row>
    <row r="29" spans="1:4" ht="15" customHeight="1" x14ac:dyDescent="0.3">
      <c r="A29" s="5"/>
      <c r="B29" s="20" t="s">
        <v>1095</v>
      </c>
      <c r="C29" s="16">
        <f>COUNTIF(PRC_Master_Index!$AE$2:$AE$10001,"In Progress")</f>
        <v>0</v>
      </c>
      <c r="D29" s="17">
        <f t="shared" si="2"/>
        <v>0</v>
      </c>
    </row>
    <row r="30" spans="1:4" ht="15" customHeight="1" x14ac:dyDescent="0.3">
      <c r="A30" s="5"/>
      <c r="B30" s="9" t="s">
        <v>54</v>
      </c>
      <c r="C30" s="13">
        <f>COUNTIF(PRC_Master_Index!$AE$2:$AE$10001,"Processed")</f>
        <v>82</v>
      </c>
      <c r="D30" s="18">
        <f t="shared" si="2"/>
        <v>0.98795180722891562</v>
      </c>
    </row>
    <row r="31" spans="1:4" ht="15" customHeight="1" x14ac:dyDescent="0.3">
      <c r="A31" s="5"/>
      <c r="B31" s="20" t="s">
        <v>1101</v>
      </c>
      <c r="C31" s="16">
        <f>COUNTIF(PRC_Master_Index!$AE$2:$AE$10001,"Published")</f>
        <v>0</v>
      </c>
      <c r="D31" s="17">
        <f t="shared" si="2"/>
        <v>0</v>
      </c>
    </row>
    <row r="32" spans="1:4" ht="15" customHeight="1" x14ac:dyDescent="0.3">
      <c r="A32" s="5"/>
      <c r="B32" s="9" t="s">
        <v>1104</v>
      </c>
      <c r="C32" s="13">
        <f>COUNTIF(PRC_Master_Index!$AE$2:$AE$10001,"On Hold")</f>
        <v>0</v>
      </c>
      <c r="D32" s="18">
        <f t="shared" si="2"/>
        <v>0</v>
      </c>
    </row>
    <row r="33" spans="1:4" ht="15" customHeight="1" x14ac:dyDescent="0.3">
      <c r="A33" s="5"/>
      <c r="B33" s="20" t="s">
        <v>1106</v>
      </c>
      <c r="C33" s="16">
        <f>COUNTIF(PRC_Master_Index!$AE$2:$AE$10001,"Archived")</f>
        <v>0</v>
      </c>
      <c r="D33" s="17">
        <f t="shared" si="2"/>
        <v>0</v>
      </c>
    </row>
    <row r="34" spans="1:4" ht="15.75" customHeight="1" x14ac:dyDescent="0.3">
      <c r="A34" s="5"/>
      <c r="B34" s="5"/>
      <c r="C34" s="5"/>
      <c r="D34" s="5"/>
    </row>
    <row r="35" spans="1:4" ht="15.75" customHeight="1" x14ac:dyDescent="0.3">
      <c r="A35" s="5"/>
      <c r="B35" s="5"/>
      <c r="C35" s="5"/>
      <c r="D35" s="5"/>
    </row>
    <row r="36" spans="1:4" ht="15.75" customHeight="1" x14ac:dyDescent="0.3">
      <c r="A36" s="5"/>
      <c r="B36" s="5"/>
      <c r="C36" s="5"/>
      <c r="D36" s="5"/>
    </row>
    <row r="37" spans="1:4" ht="15.75" customHeight="1" x14ac:dyDescent="0.3">
      <c r="A37" s="5"/>
      <c r="B37" s="5"/>
      <c r="C37" s="5"/>
      <c r="D37" s="5"/>
    </row>
    <row r="38" spans="1:4" ht="15.75" customHeight="1" x14ac:dyDescent="0.3">
      <c r="A38" s="5"/>
      <c r="B38" s="5"/>
      <c r="C38" s="5"/>
      <c r="D38" s="5"/>
    </row>
    <row r="39" spans="1:4" ht="15.75" customHeight="1" x14ac:dyDescent="0.3">
      <c r="A39" s="5"/>
      <c r="B39" s="5"/>
      <c r="C39" s="5"/>
      <c r="D39" s="5"/>
    </row>
    <row r="40" spans="1:4" ht="15.75" customHeight="1" x14ac:dyDescent="0.3">
      <c r="A40" s="5"/>
      <c r="B40" s="5"/>
      <c r="C40" s="5"/>
      <c r="D40" s="5"/>
    </row>
    <row r="41" spans="1:4" ht="15.75" customHeight="1" x14ac:dyDescent="0.3">
      <c r="A41" s="5"/>
      <c r="B41" s="5"/>
      <c r="C41" s="5"/>
      <c r="D41" s="5"/>
    </row>
    <row r="42" spans="1:4" ht="15.75" customHeight="1" x14ac:dyDescent="0.3">
      <c r="A42" s="5"/>
      <c r="B42" s="5"/>
      <c r="C42" s="5"/>
      <c r="D42" s="5"/>
    </row>
    <row r="43" spans="1:4" ht="15.75" customHeight="1" x14ac:dyDescent="0.3">
      <c r="A43" s="5"/>
      <c r="B43" s="5"/>
      <c r="C43" s="5"/>
      <c r="D43" s="5"/>
    </row>
    <row r="44" spans="1:4" ht="15.75" customHeight="1" x14ac:dyDescent="0.3">
      <c r="A44" s="5"/>
      <c r="B44" s="5"/>
      <c r="C44" s="5"/>
      <c r="D44" s="5"/>
    </row>
    <row r="45" spans="1:4" ht="15.75" customHeight="1" x14ac:dyDescent="0.3">
      <c r="A45" s="5"/>
      <c r="B45" s="5"/>
      <c r="C45" s="5"/>
      <c r="D45" s="5"/>
    </row>
    <row r="46" spans="1:4" ht="15.75" customHeight="1" x14ac:dyDescent="0.3">
      <c r="A46" s="5"/>
      <c r="B46" s="5"/>
      <c r="C46" s="5"/>
      <c r="D46" s="5"/>
    </row>
    <row r="47" spans="1:4" ht="15.75" customHeight="1" x14ac:dyDescent="0.3">
      <c r="A47" s="5"/>
      <c r="B47" s="5"/>
      <c r="C47" s="5"/>
      <c r="D47" s="5"/>
    </row>
    <row r="48" spans="1:4" ht="15.75" customHeight="1" x14ac:dyDescent="0.3">
      <c r="A48" s="5"/>
      <c r="B48" s="5"/>
      <c r="C48" s="5"/>
      <c r="D48" s="5"/>
    </row>
    <row r="49" spans="1:4" ht="15.75" customHeight="1" x14ac:dyDescent="0.3">
      <c r="A49" s="5"/>
      <c r="B49" s="5"/>
      <c r="C49" s="5"/>
      <c r="D49" s="5"/>
    </row>
    <row r="50" spans="1:4" ht="15.75" customHeight="1" x14ac:dyDescent="0.3">
      <c r="A50" s="5"/>
      <c r="B50" s="5"/>
      <c r="C50" s="5"/>
      <c r="D50" s="5"/>
    </row>
    <row r="51" spans="1:4" ht="15.75" customHeight="1" x14ac:dyDescent="0.3">
      <c r="A51" s="5"/>
      <c r="B51" s="5"/>
      <c r="C51" s="5"/>
      <c r="D51" s="5"/>
    </row>
    <row r="52" spans="1:4" ht="15.75" customHeight="1" x14ac:dyDescent="0.3">
      <c r="A52" s="5"/>
      <c r="B52" s="5"/>
      <c r="C52" s="5"/>
      <c r="D52" s="5"/>
    </row>
    <row r="53" spans="1:4" ht="15.75" customHeight="1" x14ac:dyDescent="0.3">
      <c r="A53" s="5"/>
      <c r="B53" s="5"/>
      <c r="C53" s="5"/>
      <c r="D53" s="5"/>
    </row>
    <row r="54" spans="1:4" ht="15.75" customHeight="1" x14ac:dyDescent="0.3">
      <c r="A54" s="5"/>
      <c r="B54" s="5"/>
      <c r="C54" s="5"/>
      <c r="D54" s="5"/>
    </row>
    <row r="55" spans="1:4" ht="15.75" customHeight="1" x14ac:dyDescent="0.3">
      <c r="A55" s="5"/>
      <c r="B55" s="5"/>
      <c r="C55" s="5"/>
      <c r="D55" s="5"/>
    </row>
    <row r="56" spans="1:4" ht="15.75" customHeight="1" x14ac:dyDescent="0.3">
      <c r="A56" s="5"/>
      <c r="B56" s="5"/>
      <c r="C56" s="5"/>
      <c r="D56" s="5"/>
    </row>
    <row r="57" spans="1:4" ht="15.75" customHeight="1" x14ac:dyDescent="0.3">
      <c r="A57" s="5"/>
      <c r="B57" s="5"/>
      <c r="C57" s="5"/>
      <c r="D57" s="5"/>
    </row>
    <row r="58" spans="1:4" ht="15.75" customHeight="1" x14ac:dyDescent="0.3">
      <c r="A58" s="5"/>
      <c r="B58" s="5"/>
      <c r="C58" s="5"/>
      <c r="D58" s="5"/>
    </row>
    <row r="59" spans="1:4" ht="15.75" customHeight="1" x14ac:dyDescent="0.3">
      <c r="A59" s="5"/>
      <c r="B59" s="5"/>
      <c r="C59" s="5"/>
      <c r="D59" s="5"/>
    </row>
    <row r="60" spans="1:4" ht="15.75" customHeight="1" x14ac:dyDescent="0.3">
      <c r="A60" s="5"/>
      <c r="B60" s="5"/>
      <c r="C60" s="5"/>
      <c r="D60" s="5"/>
    </row>
    <row r="61" spans="1:4" ht="15.75" customHeight="1" x14ac:dyDescent="0.3">
      <c r="A61" s="5"/>
      <c r="B61" s="5"/>
      <c r="C61" s="5"/>
      <c r="D61" s="5"/>
    </row>
    <row r="62" spans="1:4" ht="15.75" customHeight="1" x14ac:dyDescent="0.3">
      <c r="A62" s="5"/>
      <c r="B62" s="5"/>
      <c r="C62" s="5"/>
      <c r="D62" s="5"/>
    </row>
    <row r="63" spans="1:4" ht="15.75" customHeight="1" x14ac:dyDescent="0.3">
      <c r="A63" s="5"/>
      <c r="B63" s="5"/>
      <c r="C63" s="5"/>
      <c r="D63" s="5"/>
    </row>
    <row r="64" spans="1:4" ht="15.75" customHeight="1" x14ac:dyDescent="0.3">
      <c r="A64" s="5"/>
      <c r="B64" s="5"/>
      <c r="C64" s="5"/>
      <c r="D64" s="5"/>
    </row>
    <row r="65" spans="1:4" ht="15.75" customHeight="1" x14ac:dyDescent="0.3">
      <c r="A65" s="5"/>
      <c r="B65" s="5"/>
      <c r="C65" s="5"/>
      <c r="D65" s="5"/>
    </row>
    <row r="66" spans="1:4" ht="15.75" customHeight="1" x14ac:dyDescent="0.3">
      <c r="A66" s="5"/>
      <c r="B66" s="5"/>
      <c r="C66" s="5"/>
      <c r="D66" s="5"/>
    </row>
    <row r="67" spans="1:4" ht="15.75" customHeight="1" x14ac:dyDescent="0.3">
      <c r="A67" s="5"/>
      <c r="B67" s="5"/>
      <c r="C67" s="5"/>
      <c r="D67" s="5"/>
    </row>
    <row r="68" spans="1:4" ht="15.75" customHeight="1" x14ac:dyDescent="0.3">
      <c r="A68" s="5"/>
      <c r="B68" s="5"/>
      <c r="C68" s="5"/>
      <c r="D68" s="5"/>
    </row>
    <row r="69" spans="1:4" ht="15.75" customHeight="1" x14ac:dyDescent="0.3">
      <c r="A69" s="5"/>
      <c r="B69" s="5"/>
      <c r="C69" s="5"/>
      <c r="D69" s="5"/>
    </row>
    <row r="70" spans="1:4" ht="15.75" customHeight="1" x14ac:dyDescent="0.3">
      <c r="A70" s="5"/>
      <c r="B70" s="5"/>
      <c r="C70" s="5"/>
      <c r="D70" s="5"/>
    </row>
    <row r="71" spans="1:4" ht="15.75" customHeight="1" x14ac:dyDescent="0.3">
      <c r="A71" s="5"/>
      <c r="B71" s="5"/>
      <c r="C71" s="5"/>
      <c r="D71" s="5"/>
    </row>
    <row r="72" spans="1:4" ht="15.75" customHeight="1" x14ac:dyDescent="0.3">
      <c r="A72" s="5"/>
      <c r="B72" s="5"/>
      <c r="C72" s="5"/>
      <c r="D72" s="5"/>
    </row>
    <row r="73" spans="1:4" ht="15.75" customHeight="1" x14ac:dyDescent="0.3">
      <c r="A73" s="5"/>
      <c r="B73" s="5"/>
      <c r="C73" s="5"/>
      <c r="D73" s="5"/>
    </row>
    <row r="74" spans="1:4" ht="15.75" customHeight="1" x14ac:dyDescent="0.3">
      <c r="A74" s="5"/>
      <c r="B74" s="5"/>
      <c r="C74" s="5"/>
      <c r="D74" s="5"/>
    </row>
    <row r="75" spans="1:4" ht="15.75" customHeight="1" x14ac:dyDescent="0.3">
      <c r="A75" s="5"/>
      <c r="B75" s="5"/>
      <c r="C75" s="5"/>
      <c r="D75" s="5"/>
    </row>
    <row r="76" spans="1:4" ht="15.75" customHeight="1" x14ac:dyDescent="0.3">
      <c r="A76" s="5"/>
      <c r="B76" s="5"/>
      <c r="C76" s="5"/>
      <c r="D76" s="5"/>
    </row>
    <row r="77" spans="1:4" ht="15.75" customHeight="1" x14ac:dyDescent="0.3">
      <c r="A77" s="5"/>
      <c r="B77" s="5"/>
      <c r="C77" s="5"/>
      <c r="D77" s="5"/>
    </row>
    <row r="78" spans="1:4" ht="15.75" customHeight="1" x14ac:dyDescent="0.3">
      <c r="A78" s="5"/>
      <c r="B78" s="5"/>
      <c r="C78" s="5"/>
      <c r="D78" s="5"/>
    </row>
    <row r="79" spans="1:4" ht="15.75" customHeight="1" x14ac:dyDescent="0.3">
      <c r="A79" s="5"/>
      <c r="B79" s="5"/>
      <c r="C79" s="5"/>
      <c r="D79" s="5"/>
    </row>
    <row r="80" spans="1:4" ht="15.75" customHeight="1" x14ac:dyDescent="0.3">
      <c r="A80" s="5"/>
      <c r="B80" s="5"/>
      <c r="C80" s="5"/>
      <c r="D80" s="5"/>
    </row>
    <row r="81" spans="1:4" ht="15.75" customHeight="1" x14ac:dyDescent="0.3">
      <c r="A81" s="5"/>
      <c r="B81" s="5"/>
      <c r="C81" s="5"/>
      <c r="D81" s="5"/>
    </row>
    <row r="82" spans="1:4" ht="15.75" customHeight="1" x14ac:dyDescent="0.3">
      <c r="A82" s="5"/>
      <c r="B82" s="5"/>
      <c r="C82" s="5"/>
      <c r="D82" s="5"/>
    </row>
    <row r="83" spans="1:4" ht="15.75" customHeight="1" x14ac:dyDescent="0.3">
      <c r="A83" s="5"/>
      <c r="B83" s="5"/>
      <c r="C83" s="5"/>
      <c r="D83" s="5"/>
    </row>
    <row r="84" spans="1:4" ht="15.75" customHeight="1" x14ac:dyDescent="0.3">
      <c r="A84" s="5"/>
      <c r="B84" s="5"/>
      <c r="C84" s="5"/>
      <c r="D84" s="5"/>
    </row>
    <row r="85" spans="1:4" ht="15.75" customHeight="1" x14ac:dyDescent="0.3">
      <c r="A85" s="5"/>
      <c r="B85" s="5"/>
      <c r="C85" s="5"/>
      <c r="D85" s="5"/>
    </row>
    <row r="86" spans="1:4" ht="15.75" customHeight="1" x14ac:dyDescent="0.3">
      <c r="A86" s="5"/>
      <c r="B86" s="5"/>
      <c r="C86" s="5"/>
      <c r="D86" s="5"/>
    </row>
    <row r="87" spans="1:4" ht="15.75" customHeight="1" x14ac:dyDescent="0.3">
      <c r="A87" s="5"/>
      <c r="B87" s="5"/>
      <c r="C87" s="5"/>
      <c r="D87" s="5"/>
    </row>
    <row r="88" spans="1:4" ht="15.75" customHeight="1" x14ac:dyDescent="0.3">
      <c r="A88" s="5"/>
      <c r="B88" s="5"/>
      <c r="C88" s="5"/>
      <c r="D88" s="5"/>
    </row>
    <row r="89" spans="1:4" ht="15.75" customHeight="1" x14ac:dyDescent="0.3">
      <c r="A89" s="5"/>
      <c r="B89" s="5"/>
      <c r="C89" s="5"/>
      <c r="D89" s="5"/>
    </row>
    <row r="90" spans="1:4" ht="15.75" customHeight="1" x14ac:dyDescent="0.3">
      <c r="A90" s="5"/>
      <c r="B90" s="5"/>
      <c r="C90" s="5"/>
      <c r="D90" s="5"/>
    </row>
    <row r="91" spans="1:4" ht="15.75" customHeight="1" x14ac:dyDescent="0.3">
      <c r="A91" s="5"/>
      <c r="B91" s="5"/>
      <c r="C91" s="5"/>
      <c r="D91" s="5"/>
    </row>
    <row r="92" spans="1:4" ht="15.75" customHeight="1" x14ac:dyDescent="0.3">
      <c r="A92" s="5"/>
      <c r="B92" s="5"/>
      <c r="C92" s="5"/>
      <c r="D92" s="5"/>
    </row>
    <row r="93" spans="1:4" ht="15.75" customHeight="1" x14ac:dyDescent="0.3">
      <c r="A93" s="5"/>
      <c r="B93" s="5"/>
      <c r="C93" s="5"/>
      <c r="D93" s="5"/>
    </row>
    <row r="94" spans="1:4" ht="15.75" customHeight="1" x14ac:dyDescent="0.3">
      <c r="A94" s="5"/>
      <c r="B94" s="5"/>
      <c r="C94" s="5"/>
      <c r="D94" s="5"/>
    </row>
    <row r="95" spans="1:4" ht="15.75" customHeight="1" x14ac:dyDescent="0.3">
      <c r="A95" s="5"/>
      <c r="B95" s="5"/>
      <c r="C95" s="5"/>
      <c r="D95" s="5"/>
    </row>
    <row r="96" spans="1:4" ht="15.75" customHeight="1" x14ac:dyDescent="0.3">
      <c r="A96" s="5"/>
      <c r="B96" s="5"/>
      <c r="C96" s="5"/>
      <c r="D96" s="5"/>
    </row>
    <row r="97" spans="1:4" ht="15.75" customHeight="1" x14ac:dyDescent="0.3">
      <c r="A97" s="5"/>
      <c r="B97" s="5"/>
      <c r="C97" s="5"/>
      <c r="D97" s="5"/>
    </row>
    <row r="98" spans="1:4" ht="15.75" customHeight="1" x14ac:dyDescent="0.3">
      <c r="A98" s="5"/>
      <c r="B98" s="5"/>
      <c r="C98" s="5"/>
      <c r="D98" s="5"/>
    </row>
    <row r="99" spans="1:4" ht="15.75" customHeight="1" x14ac:dyDescent="0.3">
      <c r="A99" s="5"/>
      <c r="B99" s="5"/>
      <c r="C99" s="5"/>
      <c r="D99" s="5"/>
    </row>
    <row r="100" spans="1:4" ht="15.75" customHeight="1" x14ac:dyDescent="0.3">
      <c r="A100" s="5"/>
      <c r="B100" s="5"/>
      <c r="C100" s="5"/>
      <c r="D100" s="5"/>
    </row>
    <row r="101" spans="1:4" ht="15.75" customHeight="1" x14ac:dyDescent="0.3">
      <c r="A101" s="5"/>
      <c r="B101" s="5"/>
      <c r="C101" s="5"/>
      <c r="D101" s="5"/>
    </row>
    <row r="102" spans="1:4" ht="15.75" customHeight="1" x14ac:dyDescent="0.3">
      <c r="A102" s="5"/>
      <c r="B102" s="5"/>
      <c r="C102" s="5"/>
      <c r="D102" s="5"/>
    </row>
    <row r="103" spans="1:4" ht="15.75" customHeight="1" x14ac:dyDescent="0.3">
      <c r="A103" s="5"/>
      <c r="B103" s="5"/>
      <c r="C103" s="5"/>
      <c r="D103" s="5"/>
    </row>
    <row r="104" spans="1:4" ht="15.75" customHeight="1" x14ac:dyDescent="0.3">
      <c r="A104" s="5"/>
      <c r="B104" s="5"/>
      <c r="C104" s="5"/>
      <c r="D104" s="5"/>
    </row>
    <row r="105" spans="1:4" ht="15.75" customHeight="1" x14ac:dyDescent="0.3">
      <c r="A105" s="5"/>
      <c r="B105" s="5"/>
      <c r="C105" s="5"/>
      <c r="D105" s="5"/>
    </row>
    <row r="106" spans="1:4" ht="15.75" customHeight="1" x14ac:dyDescent="0.3">
      <c r="A106" s="5"/>
      <c r="B106" s="5"/>
      <c r="C106" s="5"/>
      <c r="D106" s="5"/>
    </row>
    <row r="107" spans="1:4" ht="15.75" customHeight="1" x14ac:dyDescent="0.3">
      <c r="A107" s="5"/>
      <c r="B107" s="5"/>
      <c r="C107" s="5"/>
      <c r="D107" s="5"/>
    </row>
    <row r="108" spans="1:4" ht="15.75" customHeight="1" x14ac:dyDescent="0.3">
      <c r="A108" s="5"/>
      <c r="B108" s="5"/>
      <c r="C108" s="5"/>
      <c r="D108" s="5"/>
    </row>
    <row r="109" spans="1:4" ht="15.75" customHeight="1" x14ac:dyDescent="0.3">
      <c r="A109" s="5"/>
      <c r="B109" s="5"/>
      <c r="C109" s="5"/>
      <c r="D109" s="5"/>
    </row>
    <row r="110" spans="1:4" ht="15.75" customHeight="1" x14ac:dyDescent="0.3">
      <c r="A110" s="5"/>
      <c r="B110" s="5"/>
      <c r="C110" s="5"/>
      <c r="D110" s="5"/>
    </row>
    <row r="111" spans="1:4" ht="15.75" customHeight="1" x14ac:dyDescent="0.3">
      <c r="A111" s="5"/>
      <c r="B111" s="5"/>
      <c r="C111" s="5"/>
      <c r="D111" s="5"/>
    </row>
    <row r="112" spans="1:4" ht="15.75" customHeight="1" x14ac:dyDescent="0.3">
      <c r="A112" s="5"/>
      <c r="B112" s="5"/>
      <c r="C112" s="5"/>
      <c r="D112" s="5"/>
    </row>
    <row r="113" spans="1:4" ht="15.75" customHeight="1" x14ac:dyDescent="0.3">
      <c r="A113" s="5"/>
      <c r="B113" s="5"/>
      <c r="C113" s="5"/>
      <c r="D113" s="5"/>
    </row>
    <row r="114" spans="1:4" ht="15.75" customHeight="1" x14ac:dyDescent="0.3">
      <c r="A114" s="5"/>
      <c r="B114" s="5"/>
      <c r="C114" s="5"/>
      <c r="D114" s="5"/>
    </row>
    <row r="115" spans="1:4" ht="15.75" customHeight="1" x14ac:dyDescent="0.3">
      <c r="A115" s="5"/>
      <c r="B115" s="5"/>
      <c r="C115" s="5"/>
      <c r="D115" s="5"/>
    </row>
    <row r="116" spans="1:4" ht="15.75" customHeight="1" x14ac:dyDescent="0.3">
      <c r="A116" s="5"/>
      <c r="B116" s="5"/>
      <c r="C116" s="5"/>
      <c r="D116" s="5"/>
    </row>
    <row r="117" spans="1:4" ht="15.75" customHeight="1" x14ac:dyDescent="0.3">
      <c r="A117" s="5"/>
      <c r="B117" s="5"/>
      <c r="C117" s="5"/>
      <c r="D117" s="5"/>
    </row>
    <row r="118" spans="1:4" ht="15.75" customHeight="1" x14ac:dyDescent="0.3">
      <c r="A118" s="5"/>
      <c r="B118" s="5"/>
      <c r="C118" s="5"/>
      <c r="D118" s="5"/>
    </row>
    <row r="119" spans="1:4" ht="15.75" customHeight="1" x14ac:dyDescent="0.3">
      <c r="A119" s="5"/>
      <c r="B119" s="5"/>
      <c r="C119" s="5"/>
      <c r="D119" s="5"/>
    </row>
    <row r="120" spans="1:4" ht="15.75" customHeight="1" x14ac:dyDescent="0.3">
      <c r="A120" s="5"/>
      <c r="B120" s="5"/>
      <c r="C120" s="5"/>
      <c r="D120" s="5"/>
    </row>
    <row r="121" spans="1:4" ht="15.75" customHeight="1" x14ac:dyDescent="0.3">
      <c r="A121" s="5"/>
      <c r="B121" s="5"/>
      <c r="C121" s="5"/>
      <c r="D121" s="5"/>
    </row>
    <row r="122" spans="1:4" ht="15.75" customHeight="1" x14ac:dyDescent="0.3">
      <c r="A122" s="5"/>
      <c r="B122" s="5"/>
      <c r="C122" s="5"/>
      <c r="D122" s="5"/>
    </row>
    <row r="123" spans="1:4" ht="15.75" customHeight="1" x14ac:dyDescent="0.3">
      <c r="A123" s="5"/>
      <c r="B123" s="5"/>
      <c r="C123" s="5"/>
      <c r="D123" s="5"/>
    </row>
    <row r="124" spans="1:4" ht="15.75" customHeight="1" x14ac:dyDescent="0.3">
      <c r="A124" s="5"/>
      <c r="B124" s="5"/>
      <c r="C124" s="5"/>
      <c r="D124" s="5"/>
    </row>
    <row r="125" spans="1:4" ht="15.75" customHeight="1" x14ac:dyDescent="0.3">
      <c r="A125" s="5"/>
      <c r="B125" s="5"/>
      <c r="C125" s="5"/>
      <c r="D125" s="5"/>
    </row>
    <row r="126" spans="1:4" ht="15.75" customHeight="1" x14ac:dyDescent="0.3">
      <c r="A126" s="5"/>
      <c r="B126" s="5"/>
      <c r="C126" s="5"/>
      <c r="D126" s="5"/>
    </row>
    <row r="127" spans="1:4" ht="15.75" customHeight="1" x14ac:dyDescent="0.3">
      <c r="A127" s="5"/>
      <c r="B127" s="5"/>
      <c r="C127" s="5"/>
      <c r="D127" s="5"/>
    </row>
    <row r="128" spans="1:4" ht="15.75" customHeight="1" x14ac:dyDescent="0.3">
      <c r="A128" s="5"/>
      <c r="B128" s="5"/>
      <c r="C128" s="5"/>
      <c r="D128" s="5"/>
    </row>
    <row r="129" spans="1:4" ht="15.75" customHeight="1" x14ac:dyDescent="0.3">
      <c r="A129" s="5"/>
      <c r="B129" s="5"/>
      <c r="C129" s="5"/>
      <c r="D129" s="5"/>
    </row>
    <row r="130" spans="1:4" ht="15.75" customHeight="1" x14ac:dyDescent="0.3">
      <c r="A130" s="5"/>
      <c r="B130" s="5"/>
      <c r="C130" s="5"/>
      <c r="D130" s="5"/>
    </row>
    <row r="131" spans="1:4" ht="15.75" customHeight="1" x14ac:dyDescent="0.3">
      <c r="A131" s="5"/>
      <c r="B131" s="5"/>
      <c r="C131" s="5"/>
      <c r="D131" s="5"/>
    </row>
    <row r="132" spans="1:4" ht="15.75" customHeight="1" x14ac:dyDescent="0.3">
      <c r="A132" s="5"/>
      <c r="B132" s="5"/>
      <c r="C132" s="5"/>
      <c r="D132" s="5"/>
    </row>
    <row r="133" spans="1:4" ht="15.75" customHeight="1" x14ac:dyDescent="0.3">
      <c r="A133" s="5"/>
      <c r="B133" s="5"/>
      <c r="C133" s="5"/>
      <c r="D133" s="5"/>
    </row>
    <row r="134" spans="1:4" ht="15.75" customHeight="1" x14ac:dyDescent="0.3">
      <c r="A134" s="5"/>
      <c r="B134" s="5"/>
      <c r="C134" s="5"/>
      <c r="D134" s="5"/>
    </row>
    <row r="135" spans="1:4" ht="15.75" customHeight="1" x14ac:dyDescent="0.3">
      <c r="A135" s="5"/>
      <c r="B135" s="5"/>
      <c r="C135" s="5"/>
      <c r="D135" s="5"/>
    </row>
    <row r="136" spans="1:4" ht="15.75" customHeight="1" x14ac:dyDescent="0.3">
      <c r="A136" s="5"/>
      <c r="B136" s="5"/>
      <c r="C136" s="5"/>
      <c r="D136" s="5"/>
    </row>
    <row r="137" spans="1:4" ht="15.75" customHeight="1" x14ac:dyDescent="0.3">
      <c r="A137" s="5"/>
      <c r="B137" s="5"/>
      <c r="C137" s="5"/>
      <c r="D137" s="5"/>
    </row>
    <row r="138" spans="1:4" ht="15.75" customHeight="1" x14ac:dyDescent="0.3">
      <c r="A138" s="5"/>
      <c r="B138" s="5"/>
      <c r="C138" s="5"/>
      <c r="D138" s="5"/>
    </row>
    <row r="139" spans="1:4" ht="15.75" customHeight="1" x14ac:dyDescent="0.3">
      <c r="A139" s="5"/>
      <c r="B139" s="5"/>
      <c r="C139" s="5"/>
      <c r="D139" s="5"/>
    </row>
    <row r="140" spans="1:4" ht="15.75" customHeight="1" x14ac:dyDescent="0.3">
      <c r="A140" s="5"/>
      <c r="B140" s="5"/>
      <c r="C140" s="5"/>
      <c r="D140" s="5"/>
    </row>
    <row r="141" spans="1:4" ht="15.75" customHeight="1" x14ac:dyDescent="0.3">
      <c r="A141" s="5"/>
      <c r="B141" s="5"/>
      <c r="C141" s="5"/>
      <c r="D141" s="5"/>
    </row>
    <row r="142" spans="1:4" ht="15.75" customHeight="1" x14ac:dyDescent="0.3">
      <c r="A142" s="5"/>
      <c r="B142" s="5"/>
      <c r="C142" s="5"/>
      <c r="D142" s="5"/>
    </row>
    <row r="143" spans="1:4" ht="15.75" customHeight="1" x14ac:dyDescent="0.3">
      <c r="A143" s="5"/>
      <c r="B143" s="5"/>
      <c r="C143" s="5"/>
      <c r="D143" s="5"/>
    </row>
    <row r="144" spans="1:4" ht="15.75" customHeight="1" x14ac:dyDescent="0.3">
      <c r="A144" s="5"/>
      <c r="B144" s="5"/>
      <c r="C144" s="5"/>
      <c r="D144" s="5"/>
    </row>
    <row r="145" spans="1:4" ht="15.75" customHeight="1" x14ac:dyDescent="0.3">
      <c r="A145" s="5"/>
      <c r="B145" s="5"/>
      <c r="C145" s="5"/>
      <c r="D145" s="5"/>
    </row>
    <row r="146" spans="1:4" ht="15.75" customHeight="1" x14ac:dyDescent="0.3">
      <c r="A146" s="5"/>
      <c r="B146" s="5"/>
      <c r="C146" s="5"/>
      <c r="D146" s="5"/>
    </row>
    <row r="147" spans="1:4" ht="15.75" customHeight="1" x14ac:dyDescent="0.3">
      <c r="A147" s="5"/>
      <c r="B147" s="5"/>
      <c r="C147" s="5"/>
      <c r="D147" s="5"/>
    </row>
    <row r="148" spans="1:4" ht="15.75" customHeight="1" x14ac:dyDescent="0.3">
      <c r="A148" s="5"/>
      <c r="B148" s="5"/>
      <c r="C148" s="5"/>
      <c r="D148" s="5"/>
    </row>
    <row r="149" spans="1:4" ht="15.75" customHeight="1" x14ac:dyDescent="0.3">
      <c r="A149" s="5"/>
      <c r="B149" s="5"/>
      <c r="C149" s="5"/>
      <c r="D149" s="5"/>
    </row>
    <row r="150" spans="1:4" ht="15.75" customHeight="1" x14ac:dyDescent="0.3">
      <c r="A150" s="5"/>
      <c r="B150" s="5"/>
      <c r="C150" s="5"/>
      <c r="D150" s="5"/>
    </row>
    <row r="151" spans="1:4" ht="15.75" customHeight="1" x14ac:dyDescent="0.3">
      <c r="A151" s="5"/>
      <c r="B151" s="5"/>
      <c r="C151" s="5"/>
      <c r="D151" s="5"/>
    </row>
    <row r="152" spans="1:4" ht="15.75" customHeight="1" x14ac:dyDescent="0.3">
      <c r="A152" s="5"/>
      <c r="B152" s="5"/>
      <c r="C152" s="5"/>
      <c r="D152" s="5"/>
    </row>
    <row r="153" spans="1:4" ht="15.75" customHeight="1" x14ac:dyDescent="0.3">
      <c r="A153" s="5"/>
      <c r="B153" s="5"/>
      <c r="C153" s="5"/>
      <c r="D153" s="5"/>
    </row>
    <row r="154" spans="1:4" ht="15.75" customHeight="1" x14ac:dyDescent="0.3">
      <c r="A154" s="5"/>
      <c r="B154" s="5"/>
      <c r="C154" s="5"/>
      <c r="D154" s="5"/>
    </row>
    <row r="155" spans="1:4" ht="15.75" customHeight="1" x14ac:dyDescent="0.3">
      <c r="A155" s="5"/>
      <c r="B155" s="5"/>
      <c r="C155" s="5"/>
      <c r="D155" s="5"/>
    </row>
    <row r="156" spans="1:4" ht="15.75" customHeight="1" x14ac:dyDescent="0.3">
      <c r="A156" s="5"/>
      <c r="B156" s="5"/>
      <c r="C156" s="5"/>
      <c r="D156" s="5"/>
    </row>
    <row r="157" spans="1:4" ht="15.75" customHeight="1" x14ac:dyDescent="0.3">
      <c r="A157" s="5"/>
      <c r="B157" s="5"/>
      <c r="C157" s="5"/>
      <c r="D157" s="5"/>
    </row>
    <row r="158" spans="1:4" ht="15.75" customHeight="1" x14ac:dyDescent="0.3">
      <c r="A158" s="5"/>
      <c r="B158" s="5"/>
      <c r="C158" s="5"/>
      <c r="D158" s="5"/>
    </row>
    <row r="159" spans="1:4" ht="15.75" customHeight="1" x14ac:dyDescent="0.3">
      <c r="A159" s="5"/>
      <c r="B159" s="5"/>
      <c r="C159" s="5"/>
      <c r="D159" s="5"/>
    </row>
    <row r="160" spans="1:4" ht="15.75" customHeight="1" x14ac:dyDescent="0.3">
      <c r="A160" s="5"/>
      <c r="B160" s="5"/>
      <c r="C160" s="5"/>
      <c r="D160" s="5"/>
    </row>
    <row r="161" spans="1:4" ht="15.75" customHeight="1" x14ac:dyDescent="0.3">
      <c r="A161" s="5"/>
      <c r="B161" s="5"/>
      <c r="C161" s="5"/>
      <c r="D161" s="5"/>
    </row>
    <row r="162" spans="1:4" ht="15.75" customHeight="1" x14ac:dyDescent="0.3">
      <c r="A162" s="5"/>
      <c r="B162" s="5"/>
      <c r="C162" s="5"/>
      <c r="D162" s="5"/>
    </row>
    <row r="163" spans="1:4" ht="15.75" customHeight="1" x14ac:dyDescent="0.3">
      <c r="A163" s="5"/>
      <c r="B163" s="5"/>
      <c r="C163" s="5"/>
      <c r="D163" s="5"/>
    </row>
    <row r="164" spans="1:4" ht="15.75" customHeight="1" x14ac:dyDescent="0.3">
      <c r="A164" s="5"/>
      <c r="B164" s="5"/>
      <c r="C164" s="5"/>
      <c r="D164" s="5"/>
    </row>
    <row r="165" spans="1:4" ht="15.75" customHeight="1" x14ac:dyDescent="0.3">
      <c r="A165" s="5"/>
      <c r="B165" s="5"/>
      <c r="C165" s="5"/>
      <c r="D165" s="5"/>
    </row>
    <row r="166" spans="1:4" ht="15.75" customHeight="1" x14ac:dyDescent="0.3">
      <c r="A166" s="5"/>
      <c r="B166" s="5"/>
      <c r="C166" s="5"/>
      <c r="D166" s="5"/>
    </row>
    <row r="167" spans="1:4" ht="15.75" customHeight="1" x14ac:dyDescent="0.3">
      <c r="A167" s="5"/>
      <c r="B167" s="5"/>
      <c r="C167" s="5"/>
      <c r="D167" s="5"/>
    </row>
    <row r="168" spans="1:4" ht="15.75" customHeight="1" x14ac:dyDescent="0.3">
      <c r="A168" s="5"/>
      <c r="B168" s="5"/>
      <c r="C168" s="5"/>
      <c r="D168" s="5"/>
    </row>
    <row r="169" spans="1:4" ht="15.75" customHeight="1" x14ac:dyDescent="0.3">
      <c r="A169" s="5"/>
      <c r="B169" s="5"/>
      <c r="C169" s="5"/>
      <c r="D169" s="5"/>
    </row>
    <row r="170" spans="1:4" ht="15.75" customHeight="1" x14ac:dyDescent="0.3">
      <c r="A170" s="5"/>
      <c r="B170" s="5"/>
      <c r="C170" s="5"/>
      <c r="D170" s="5"/>
    </row>
    <row r="171" spans="1:4" ht="15.75" customHeight="1" x14ac:dyDescent="0.3">
      <c r="A171" s="5"/>
      <c r="B171" s="5"/>
      <c r="C171" s="5"/>
      <c r="D171" s="5"/>
    </row>
    <row r="172" spans="1:4" ht="15.75" customHeight="1" x14ac:dyDescent="0.3">
      <c r="A172" s="5"/>
      <c r="B172" s="5"/>
      <c r="C172" s="5"/>
      <c r="D172" s="5"/>
    </row>
    <row r="173" spans="1:4" ht="15.75" customHeight="1" x14ac:dyDescent="0.3">
      <c r="A173" s="5"/>
      <c r="B173" s="5"/>
      <c r="C173" s="5"/>
      <c r="D173" s="5"/>
    </row>
    <row r="174" spans="1:4" ht="15.75" customHeight="1" x14ac:dyDescent="0.3">
      <c r="A174" s="5"/>
      <c r="B174" s="5"/>
      <c r="C174" s="5"/>
      <c r="D174" s="5"/>
    </row>
    <row r="175" spans="1:4" ht="15.75" customHeight="1" x14ac:dyDescent="0.3">
      <c r="A175" s="5"/>
      <c r="B175" s="5"/>
      <c r="C175" s="5"/>
      <c r="D175" s="5"/>
    </row>
    <row r="176" spans="1:4" ht="15.75" customHeight="1" x14ac:dyDescent="0.3">
      <c r="A176" s="5"/>
      <c r="B176" s="5"/>
      <c r="C176" s="5"/>
      <c r="D176" s="5"/>
    </row>
    <row r="177" spans="1:4" ht="15.75" customHeight="1" x14ac:dyDescent="0.3">
      <c r="A177" s="5"/>
      <c r="B177" s="5"/>
      <c r="C177" s="5"/>
      <c r="D177" s="5"/>
    </row>
    <row r="178" spans="1:4" ht="15.75" customHeight="1" x14ac:dyDescent="0.3">
      <c r="A178" s="5"/>
      <c r="B178" s="5"/>
      <c r="C178" s="5"/>
      <c r="D178" s="5"/>
    </row>
    <row r="179" spans="1:4" ht="15.75" customHeight="1" x14ac:dyDescent="0.3">
      <c r="A179" s="5"/>
      <c r="B179" s="5"/>
      <c r="C179" s="5"/>
      <c r="D179" s="5"/>
    </row>
    <row r="180" spans="1:4" ht="15.75" customHeight="1" x14ac:dyDescent="0.3">
      <c r="A180" s="5"/>
      <c r="B180" s="5"/>
      <c r="C180" s="5"/>
      <c r="D180" s="5"/>
    </row>
    <row r="181" spans="1:4" ht="15.75" customHeight="1" x14ac:dyDescent="0.3">
      <c r="A181" s="5"/>
      <c r="B181" s="5"/>
      <c r="C181" s="5"/>
      <c r="D181" s="5"/>
    </row>
    <row r="182" spans="1:4" ht="15.75" customHeight="1" x14ac:dyDescent="0.3">
      <c r="A182" s="5"/>
      <c r="B182" s="5"/>
      <c r="C182" s="5"/>
      <c r="D182" s="5"/>
    </row>
    <row r="183" spans="1:4" ht="15.75" customHeight="1" x14ac:dyDescent="0.3">
      <c r="A183" s="5"/>
      <c r="B183" s="5"/>
      <c r="C183" s="5"/>
      <c r="D183" s="5"/>
    </row>
    <row r="184" spans="1:4" ht="15.75" customHeight="1" x14ac:dyDescent="0.3">
      <c r="A184" s="5"/>
      <c r="B184" s="5"/>
      <c r="C184" s="5"/>
      <c r="D184" s="5"/>
    </row>
    <row r="185" spans="1:4" ht="15.75" customHeight="1" x14ac:dyDescent="0.3">
      <c r="A185" s="5"/>
      <c r="B185" s="5"/>
      <c r="C185" s="5"/>
      <c r="D185" s="5"/>
    </row>
    <row r="186" spans="1:4" ht="15.75" customHeight="1" x14ac:dyDescent="0.3">
      <c r="A186" s="5"/>
      <c r="B186" s="5"/>
      <c r="C186" s="5"/>
      <c r="D186" s="5"/>
    </row>
    <row r="187" spans="1:4" ht="15.75" customHeight="1" x14ac:dyDescent="0.3">
      <c r="A187" s="5"/>
      <c r="B187" s="5"/>
      <c r="C187" s="5"/>
      <c r="D187" s="5"/>
    </row>
    <row r="188" spans="1:4" ht="15.75" customHeight="1" x14ac:dyDescent="0.3">
      <c r="A188" s="5"/>
      <c r="B188" s="5"/>
      <c r="C188" s="5"/>
      <c r="D188" s="5"/>
    </row>
    <row r="189" spans="1:4" ht="15.75" customHeight="1" x14ac:dyDescent="0.3">
      <c r="A189" s="5"/>
      <c r="B189" s="5"/>
      <c r="C189" s="5"/>
      <c r="D189" s="5"/>
    </row>
    <row r="190" spans="1:4" ht="15.75" customHeight="1" x14ac:dyDescent="0.3">
      <c r="A190" s="5"/>
      <c r="B190" s="5"/>
      <c r="C190" s="5"/>
      <c r="D190" s="5"/>
    </row>
    <row r="191" spans="1:4" ht="15.75" customHeight="1" x14ac:dyDescent="0.3">
      <c r="A191" s="5"/>
      <c r="B191" s="5"/>
      <c r="C191" s="5"/>
      <c r="D191" s="5"/>
    </row>
    <row r="192" spans="1:4" ht="15.75" customHeight="1" x14ac:dyDescent="0.3">
      <c r="A192" s="5"/>
      <c r="B192" s="5"/>
      <c r="C192" s="5"/>
      <c r="D192" s="5"/>
    </row>
    <row r="193" spans="1:4" ht="15.75" customHeight="1" x14ac:dyDescent="0.3">
      <c r="A193" s="5"/>
      <c r="B193" s="5"/>
      <c r="C193" s="5"/>
      <c r="D193" s="5"/>
    </row>
    <row r="194" spans="1:4" ht="15.75" customHeight="1" x14ac:dyDescent="0.3">
      <c r="A194" s="5"/>
      <c r="B194" s="5"/>
      <c r="C194" s="5"/>
      <c r="D194" s="5"/>
    </row>
    <row r="195" spans="1:4" ht="15.75" customHeight="1" x14ac:dyDescent="0.3">
      <c r="A195" s="5"/>
      <c r="B195" s="5"/>
      <c r="C195" s="5"/>
      <c r="D195" s="5"/>
    </row>
    <row r="196" spans="1:4" ht="15.75" customHeight="1" x14ac:dyDescent="0.3">
      <c r="A196" s="5"/>
      <c r="B196" s="5"/>
      <c r="C196" s="5"/>
      <c r="D196" s="5"/>
    </row>
    <row r="197" spans="1:4" ht="15.75" customHeight="1" x14ac:dyDescent="0.3">
      <c r="A197" s="5"/>
      <c r="B197" s="5"/>
      <c r="C197" s="5"/>
      <c r="D197" s="5"/>
    </row>
    <row r="198" spans="1:4" ht="15.75" customHeight="1" x14ac:dyDescent="0.3">
      <c r="A198" s="5"/>
      <c r="B198" s="5"/>
      <c r="C198" s="5"/>
      <c r="D198" s="5"/>
    </row>
    <row r="199" spans="1:4" ht="15.75" customHeight="1" x14ac:dyDescent="0.3">
      <c r="A199" s="5"/>
      <c r="B199" s="5"/>
      <c r="C199" s="5"/>
      <c r="D199" s="5"/>
    </row>
    <row r="200" spans="1:4" ht="15.75" customHeight="1" x14ac:dyDescent="0.3">
      <c r="A200" s="5"/>
      <c r="B200" s="5"/>
      <c r="C200" s="5"/>
      <c r="D200" s="5"/>
    </row>
    <row r="201" spans="1:4" ht="15.75" customHeight="1" x14ac:dyDescent="0.3">
      <c r="A201" s="5"/>
      <c r="B201" s="5"/>
      <c r="C201" s="5"/>
      <c r="D201" s="5"/>
    </row>
    <row r="202" spans="1:4" ht="15.75" customHeight="1" x14ac:dyDescent="0.3">
      <c r="A202" s="5"/>
      <c r="B202" s="5"/>
      <c r="C202" s="5"/>
      <c r="D202" s="5"/>
    </row>
    <row r="203" spans="1:4" ht="15.75" customHeight="1" x14ac:dyDescent="0.3">
      <c r="A203" s="5"/>
      <c r="B203" s="5"/>
      <c r="C203" s="5"/>
      <c r="D203" s="5"/>
    </row>
    <row r="204" spans="1:4" ht="15.75" customHeight="1" x14ac:dyDescent="0.3">
      <c r="A204" s="5"/>
      <c r="B204" s="5"/>
      <c r="C204" s="5"/>
      <c r="D204" s="5"/>
    </row>
    <row r="205" spans="1:4" ht="15.75" customHeight="1" x14ac:dyDescent="0.3">
      <c r="A205" s="5"/>
      <c r="B205" s="5"/>
      <c r="C205" s="5"/>
      <c r="D205" s="5"/>
    </row>
    <row r="206" spans="1:4" ht="15.75" customHeight="1" x14ac:dyDescent="0.3">
      <c r="A206" s="5"/>
      <c r="B206" s="5"/>
      <c r="C206" s="5"/>
      <c r="D206" s="5"/>
    </row>
    <row r="207" spans="1:4" ht="15.75" customHeight="1" x14ac:dyDescent="0.3">
      <c r="A207" s="5"/>
      <c r="B207" s="5"/>
      <c r="C207" s="5"/>
      <c r="D207" s="5"/>
    </row>
    <row r="208" spans="1:4" ht="15.75" customHeight="1" x14ac:dyDescent="0.3">
      <c r="A208" s="5"/>
      <c r="B208" s="5"/>
      <c r="C208" s="5"/>
      <c r="D208" s="5"/>
    </row>
    <row r="209" spans="1:4" ht="15.75" customHeight="1" x14ac:dyDescent="0.3">
      <c r="A209" s="5"/>
      <c r="B209" s="5"/>
      <c r="C209" s="5"/>
      <c r="D209" s="5"/>
    </row>
    <row r="210" spans="1:4" ht="15.75" customHeight="1" x14ac:dyDescent="0.3">
      <c r="A210" s="5"/>
      <c r="B210" s="5"/>
      <c r="C210" s="5"/>
      <c r="D210" s="5"/>
    </row>
    <row r="211" spans="1:4" ht="15.75" customHeight="1" x14ac:dyDescent="0.3">
      <c r="A211" s="5"/>
      <c r="B211" s="5"/>
      <c r="C211" s="5"/>
      <c r="D211" s="5"/>
    </row>
    <row r="212" spans="1:4" ht="15.75" customHeight="1" x14ac:dyDescent="0.3">
      <c r="A212" s="5"/>
      <c r="B212" s="5"/>
      <c r="C212" s="5"/>
      <c r="D212" s="5"/>
    </row>
    <row r="213" spans="1:4" ht="15.75" customHeight="1" x14ac:dyDescent="0.3">
      <c r="A213" s="5"/>
      <c r="B213" s="5"/>
      <c r="C213" s="5"/>
      <c r="D213" s="5"/>
    </row>
    <row r="214" spans="1:4" ht="15.75" customHeight="1" x14ac:dyDescent="0.3">
      <c r="A214" s="5"/>
      <c r="B214" s="5"/>
      <c r="C214" s="5"/>
      <c r="D214" s="5"/>
    </row>
    <row r="215" spans="1:4" ht="15.75" customHeight="1" x14ac:dyDescent="0.3">
      <c r="A215" s="5"/>
      <c r="B215" s="5"/>
      <c r="C215" s="5"/>
      <c r="D215" s="5"/>
    </row>
    <row r="216" spans="1:4" ht="15.75" customHeight="1" x14ac:dyDescent="0.3">
      <c r="A216" s="5"/>
      <c r="B216" s="5"/>
      <c r="C216" s="5"/>
      <c r="D216" s="5"/>
    </row>
    <row r="217" spans="1:4" ht="15.75" customHeight="1" x14ac:dyDescent="0.3">
      <c r="A217" s="5"/>
      <c r="B217" s="5"/>
      <c r="C217" s="5"/>
      <c r="D217" s="5"/>
    </row>
    <row r="218" spans="1:4" ht="15.75" customHeight="1" x14ac:dyDescent="0.3">
      <c r="A218" s="5"/>
      <c r="B218" s="5"/>
      <c r="C218" s="5"/>
      <c r="D218" s="5"/>
    </row>
    <row r="219" spans="1:4" ht="15.75" customHeight="1" x14ac:dyDescent="0.3">
      <c r="A219" s="5"/>
      <c r="B219" s="5"/>
      <c r="C219" s="5"/>
      <c r="D219" s="5"/>
    </row>
    <row r="220" spans="1:4" ht="15.75" customHeight="1" x14ac:dyDescent="0.3">
      <c r="A220" s="5"/>
      <c r="B220" s="5"/>
      <c r="C220" s="5"/>
      <c r="D220" s="5"/>
    </row>
    <row r="221" spans="1:4" ht="15.75" customHeight="1" x14ac:dyDescent="0.3">
      <c r="A221" s="5"/>
      <c r="B221" s="5"/>
      <c r="C221" s="5"/>
      <c r="D221" s="5"/>
    </row>
    <row r="222" spans="1:4" ht="15.75" customHeight="1" x14ac:dyDescent="0.3">
      <c r="A222" s="5"/>
      <c r="B222" s="5"/>
      <c r="C222" s="5"/>
      <c r="D222" s="5"/>
    </row>
    <row r="223" spans="1:4" ht="15.75" customHeight="1" x14ac:dyDescent="0.3">
      <c r="A223" s="5"/>
      <c r="B223" s="5"/>
      <c r="C223" s="5"/>
      <c r="D223" s="5"/>
    </row>
    <row r="224" spans="1:4" ht="15.75" customHeight="1" x14ac:dyDescent="0.3">
      <c r="A224" s="5"/>
      <c r="B224" s="5"/>
      <c r="C224" s="5"/>
      <c r="D224" s="5"/>
    </row>
    <row r="225" spans="1:4" ht="15.75" customHeight="1" x14ac:dyDescent="0.3">
      <c r="A225" s="5"/>
      <c r="B225" s="5"/>
      <c r="C225" s="5"/>
      <c r="D225" s="5"/>
    </row>
    <row r="226" spans="1:4" ht="15.75" customHeight="1" x14ac:dyDescent="0.3">
      <c r="A226" s="5"/>
      <c r="B226" s="5"/>
      <c r="C226" s="5"/>
      <c r="D226" s="5"/>
    </row>
    <row r="227" spans="1:4" ht="15.75" customHeight="1" x14ac:dyDescent="0.3">
      <c r="A227" s="5"/>
      <c r="B227" s="5"/>
      <c r="C227" s="5"/>
      <c r="D227" s="5"/>
    </row>
    <row r="228" spans="1:4" ht="15.75" customHeight="1" x14ac:dyDescent="0.3">
      <c r="A228" s="5"/>
      <c r="B228" s="5"/>
      <c r="C228" s="5"/>
      <c r="D228" s="5"/>
    </row>
    <row r="229" spans="1:4" ht="15.75" customHeight="1" x14ac:dyDescent="0.3">
      <c r="A229" s="5"/>
      <c r="B229" s="5"/>
      <c r="C229" s="5"/>
      <c r="D229" s="5"/>
    </row>
    <row r="230" spans="1:4" ht="15.75" customHeight="1" x14ac:dyDescent="0.3">
      <c r="A230" s="5"/>
      <c r="B230" s="5"/>
      <c r="C230" s="5"/>
      <c r="D230" s="5"/>
    </row>
    <row r="231" spans="1:4" ht="15.75" customHeight="1" x14ac:dyDescent="0.3">
      <c r="A231" s="5"/>
      <c r="B231" s="5"/>
      <c r="C231" s="5"/>
      <c r="D231" s="5"/>
    </row>
    <row r="232" spans="1:4" ht="15.75" customHeight="1" x14ac:dyDescent="0.3">
      <c r="A232" s="5"/>
      <c r="B232" s="5"/>
      <c r="C232" s="5"/>
      <c r="D232" s="5"/>
    </row>
    <row r="233" spans="1:4" ht="15.75" customHeight="1" x14ac:dyDescent="0.3">
      <c r="A233" s="5"/>
      <c r="B233" s="5"/>
      <c r="C233" s="5"/>
      <c r="D233" s="5"/>
    </row>
    <row r="234" spans="1:4" ht="15.75" customHeight="1" x14ac:dyDescent="0.3">
      <c r="A234" s="5"/>
      <c r="B234" s="5"/>
      <c r="C234" s="5"/>
      <c r="D234" s="5"/>
    </row>
    <row r="235" spans="1:4" ht="15.75" customHeight="1" x14ac:dyDescent="0.3">
      <c r="A235" s="5"/>
      <c r="B235" s="5"/>
      <c r="C235" s="5"/>
      <c r="D235" s="5"/>
    </row>
    <row r="236" spans="1:4" ht="15.75" customHeight="1" x14ac:dyDescent="0.3">
      <c r="A236" s="5"/>
      <c r="B236" s="5"/>
      <c r="C236" s="5"/>
      <c r="D236" s="5"/>
    </row>
    <row r="237" spans="1:4" ht="15.75" customHeight="1" x14ac:dyDescent="0.3">
      <c r="A237" s="5"/>
      <c r="B237" s="5"/>
      <c r="C237" s="5"/>
      <c r="D237" s="5"/>
    </row>
    <row r="238" spans="1:4" ht="15.75" customHeight="1" x14ac:dyDescent="0.3">
      <c r="A238" s="5"/>
      <c r="B238" s="5"/>
      <c r="C238" s="5"/>
      <c r="D238" s="5"/>
    </row>
    <row r="239" spans="1:4" ht="15.75" customHeight="1" x14ac:dyDescent="0.3">
      <c r="A239" s="5"/>
      <c r="B239" s="5"/>
      <c r="C239" s="5"/>
      <c r="D239" s="5"/>
    </row>
    <row r="240" spans="1:4" ht="15.75" customHeight="1" x14ac:dyDescent="0.3">
      <c r="A240" s="5"/>
      <c r="B240" s="5"/>
      <c r="C240" s="5"/>
      <c r="D240" s="5"/>
    </row>
    <row r="241" spans="1:4" ht="15.75" customHeight="1" x14ac:dyDescent="0.3">
      <c r="A241" s="5"/>
      <c r="B241" s="5"/>
      <c r="C241" s="5"/>
      <c r="D241" s="5"/>
    </row>
    <row r="242" spans="1:4" ht="15.75" customHeight="1" x14ac:dyDescent="0.3">
      <c r="A242" s="5"/>
      <c r="B242" s="5"/>
      <c r="C242" s="5"/>
      <c r="D242" s="5"/>
    </row>
    <row r="243" spans="1:4" ht="15.75" customHeight="1" x14ac:dyDescent="0.3">
      <c r="A243" s="5"/>
      <c r="B243" s="5"/>
      <c r="C243" s="5"/>
      <c r="D243" s="5"/>
    </row>
    <row r="244" spans="1:4" ht="15.75" customHeight="1" x14ac:dyDescent="0.3">
      <c r="A244" s="5"/>
      <c r="B244" s="5"/>
      <c r="C244" s="5"/>
      <c r="D244" s="5"/>
    </row>
    <row r="245" spans="1:4" ht="15.75" customHeight="1" x14ac:dyDescent="0.3">
      <c r="A245" s="5"/>
      <c r="B245" s="5"/>
      <c r="C245" s="5"/>
      <c r="D245" s="5"/>
    </row>
    <row r="246" spans="1:4" ht="15.75" customHeight="1" x14ac:dyDescent="0.3">
      <c r="A246" s="5"/>
      <c r="B246" s="5"/>
      <c r="C246" s="5"/>
      <c r="D246" s="5"/>
    </row>
    <row r="247" spans="1:4" ht="15.75" customHeight="1" x14ac:dyDescent="0.3">
      <c r="A247" s="5"/>
      <c r="B247" s="5"/>
      <c r="C247" s="5"/>
      <c r="D247" s="5"/>
    </row>
    <row r="248" spans="1:4" ht="15.75" customHeight="1" x14ac:dyDescent="0.3">
      <c r="A248" s="5"/>
      <c r="B248" s="5"/>
      <c r="C248" s="5"/>
      <c r="D248" s="5"/>
    </row>
    <row r="249" spans="1:4" ht="15.75" customHeight="1" x14ac:dyDescent="0.3">
      <c r="A249" s="5"/>
      <c r="B249" s="5"/>
      <c r="C249" s="5"/>
      <c r="D249" s="5"/>
    </row>
    <row r="250" spans="1:4" ht="15.75" customHeight="1" x14ac:dyDescent="0.3">
      <c r="A250" s="5"/>
      <c r="B250" s="5"/>
      <c r="C250" s="5"/>
      <c r="D250" s="5"/>
    </row>
    <row r="251" spans="1:4" ht="15.75" customHeight="1" x14ac:dyDescent="0.3">
      <c r="A251" s="5"/>
      <c r="B251" s="5"/>
      <c r="C251" s="5"/>
      <c r="D251" s="5"/>
    </row>
    <row r="252" spans="1:4" ht="15.75" customHeight="1" x14ac:dyDescent="0.3">
      <c r="A252" s="5"/>
      <c r="B252" s="5"/>
      <c r="C252" s="5"/>
      <c r="D252" s="5"/>
    </row>
    <row r="253" spans="1:4" ht="15.75" customHeight="1" x14ac:dyDescent="0.3">
      <c r="A253" s="5"/>
      <c r="B253" s="5"/>
      <c r="C253" s="5"/>
      <c r="D253" s="5"/>
    </row>
    <row r="254" spans="1:4" ht="15.75" customHeight="1" x14ac:dyDescent="0.3">
      <c r="A254" s="5"/>
      <c r="B254" s="5"/>
      <c r="C254" s="5"/>
      <c r="D254" s="5"/>
    </row>
    <row r="255" spans="1:4" ht="15.75" customHeight="1" x14ac:dyDescent="0.3">
      <c r="A255" s="5"/>
      <c r="B255" s="5"/>
      <c r="C255" s="5"/>
      <c r="D255" s="5"/>
    </row>
    <row r="256" spans="1:4" ht="15.75" customHeight="1" x14ac:dyDescent="0.3">
      <c r="A256" s="5"/>
      <c r="B256" s="5"/>
      <c r="C256" s="5"/>
      <c r="D256" s="5"/>
    </row>
    <row r="257" spans="1:4" ht="15.75" customHeight="1" x14ac:dyDescent="0.3">
      <c r="A257" s="5"/>
      <c r="B257" s="5"/>
      <c r="C257" s="5"/>
      <c r="D257" s="5"/>
    </row>
    <row r="258" spans="1:4" ht="15.75" customHeight="1" x14ac:dyDescent="0.3">
      <c r="A258" s="5"/>
      <c r="B258" s="5"/>
      <c r="C258" s="5"/>
      <c r="D258" s="5"/>
    </row>
    <row r="259" spans="1:4" ht="15.75" customHeight="1" x14ac:dyDescent="0.3">
      <c r="A259" s="5"/>
      <c r="B259" s="5"/>
      <c r="C259" s="5"/>
      <c r="D259" s="5"/>
    </row>
    <row r="260" spans="1:4" ht="15.75" customHeight="1" x14ac:dyDescent="0.3">
      <c r="A260" s="5"/>
      <c r="B260" s="5"/>
      <c r="C260" s="5"/>
      <c r="D260" s="5"/>
    </row>
    <row r="261" spans="1:4" ht="15.75" customHeight="1" x14ac:dyDescent="0.3">
      <c r="A261" s="5"/>
      <c r="B261" s="5"/>
      <c r="C261" s="5"/>
      <c r="D261" s="5"/>
    </row>
    <row r="262" spans="1:4" ht="15.75" customHeight="1" x14ac:dyDescent="0.3">
      <c r="A262" s="5"/>
      <c r="B262" s="5"/>
      <c r="C262" s="5"/>
      <c r="D262" s="5"/>
    </row>
    <row r="263" spans="1:4" ht="15.75" customHeight="1" x14ac:dyDescent="0.3">
      <c r="A263" s="5"/>
      <c r="B263" s="5"/>
      <c r="C263" s="5"/>
      <c r="D263" s="5"/>
    </row>
    <row r="264" spans="1:4" ht="15.75" customHeight="1" x14ac:dyDescent="0.3">
      <c r="A264" s="5"/>
      <c r="B264" s="5"/>
      <c r="C264" s="5"/>
      <c r="D264" s="5"/>
    </row>
    <row r="265" spans="1:4" ht="15.75" customHeight="1" x14ac:dyDescent="0.3">
      <c r="A265" s="5"/>
      <c r="B265" s="5"/>
      <c r="C265" s="5"/>
      <c r="D265" s="5"/>
    </row>
    <row r="266" spans="1:4" ht="15.75" customHeight="1" x14ac:dyDescent="0.3">
      <c r="A266" s="5"/>
      <c r="B266" s="5"/>
      <c r="C266" s="5"/>
      <c r="D266" s="5"/>
    </row>
    <row r="267" spans="1:4" ht="15.75" customHeight="1" x14ac:dyDescent="0.3">
      <c r="A267" s="5"/>
      <c r="B267" s="5"/>
      <c r="C267" s="5"/>
      <c r="D267" s="5"/>
    </row>
    <row r="268" spans="1:4" ht="15.75" customHeight="1" x14ac:dyDescent="0.3">
      <c r="A268" s="5"/>
      <c r="B268" s="5"/>
      <c r="C268" s="5"/>
      <c r="D268" s="5"/>
    </row>
    <row r="269" spans="1:4" ht="15.75" customHeight="1" x14ac:dyDescent="0.3">
      <c r="A269" s="5"/>
      <c r="B269" s="5"/>
      <c r="C269" s="5"/>
      <c r="D269" s="5"/>
    </row>
    <row r="270" spans="1:4" ht="15.75" customHeight="1" x14ac:dyDescent="0.3">
      <c r="A270" s="5"/>
      <c r="B270" s="5"/>
      <c r="C270" s="5"/>
      <c r="D270" s="5"/>
    </row>
    <row r="271" spans="1:4" ht="15.75" customHeight="1" x14ac:dyDescent="0.3">
      <c r="A271" s="5"/>
      <c r="B271" s="5"/>
      <c r="C271" s="5"/>
      <c r="D271" s="5"/>
    </row>
    <row r="272" spans="1:4" ht="15.75" customHeight="1" x14ac:dyDescent="0.3">
      <c r="A272" s="5"/>
      <c r="B272" s="5"/>
      <c r="C272" s="5"/>
      <c r="D272" s="5"/>
    </row>
    <row r="273" spans="1:4" ht="15.75" customHeight="1" x14ac:dyDescent="0.3">
      <c r="A273" s="5"/>
      <c r="B273" s="5"/>
      <c r="C273" s="5"/>
      <c r="D273" s="5"/>
    </row>
    <row r="274" spans="1:4" ht="15.75" customHeight="1" x14ac:dyDescent="0.3">
      <c r="A274" s="5"/>
      <c r="B274" s="5"/>
      <c r="C274" s="5"/>
      <c r="D274" s="5"/>
    </row>
    <row r="275" spans="1:4" ht="15.75" customHeight="1" x14ac:dyDescent="0.3">
      <c r="A275" s="5"/>
      <c r="B275" s="5"/>
      <c r="C275" s="5"/>
      <c r="D275" s="5"/>
    </row>
    <row r="276" spans="1:4" ht="15.75" customHeight="1" x14ac:dyDescent="0.3">
      <c r="A276" s="5"/>
      <c r="B276" s="5"/>
      <c r="C276" s="5"/>
      <c r="D276" s="5"/>
    </row>
    <row r="277" spans="1:4" ht="15.75" customHeight="1" x14ac:dyDescent="0.3">
      <c r="A277" s="5"/>
      <c r="B277" s="5"/>
      <c r="C277" s="5"/>
      <c r="D277" s="5"/>
    </row>
    <row r="278" spans="1:4" ht="15.75" customHeight="1" x14ac:dyDescent="0.3">
      <c r="A278" s="5"/>
      <c r="B278" s="5"/>
      <c r="C278" s="5"/>
      <c r="D278" s="5"/>
    </row>
    <row r="279" spans="1:4" ht="15.75" customHeight="1" x14ac:dyDescent="0.3">
      <c r="A279" s="5"/>
      <c r="B279" s="5"/>
      <c r="C279" s="5"/>
      <c r="D279" s="5"/>
    </row>
    <row r="280" spans="1:4" ht="15.75" customHeight="1" x14ac:dyDescent="0.3">
      <c r="A280" s="5"/>
      <c r="B280" s="5"/>
      <c r="C280" s="5"/>
      <c r="D280" s="5"/>
    </row>
    <row r="281" spans="1:4" ht="15.75" customHeight="1" x14ac:dyDescent="0.3">
      <c r="A281" s="5"/>
      <c r="B281" s="5"/>
      <c r="C281" s="5"/>
      <c r="D281" s="5"/>
    </row>
    <row r="282" spans="1:4" ht="15.75" customHeight="1" x14ac:dyDescent="0.3">
      <c r="A282" s="5"/>
      <c r="B282" s="5"/>
      <c r="C282" s="5"/>
      <c r="D282" s="5"/>
    </row>
    <row r="283" spans="1:4" ht="15.75" customHeight="1" x14ac:dyDescent="0.3">
      <c r="A283" s="5"/>
      <c r="B283" s="5"/>
      <c r="C283" s="5"/>
      <c r="D283" s="5"/>
    </row>
    <row r="284" spans="1:4" ht="15.75" customHeight="1" x14ac:dyDescent="0.3">
      <c r="A284" s="5"/>
      <c r="B284" s="5"/>
      <c r="C284" s="5"/>
      <c r="D284" s="5"/>
    </row>
    <row r="285" spans="1:4" ht="15.75" customHeight="1" x14ac:dyDescent="0.3">
      <c r="A285" s="5"/>
      <c r="B285" s="5"/>
      <c r="C285" s="5"/>
      <c r="D285" s="5"/>
    </row>
    <row r="286" spans="1:4" ht="15.75" customHeight="1" x14ac:dyDescent="0.3">
      <c r="A286" s="5"/>
      <c r="B286" s="5"/>
      <c r="C286" s="5"/>
      <c r="D286" s="5"/>
    </row>
    <row r="287" spans="1:4" ht="15.75" customHeight="1" x14ac:dyDescent="0.3">
      <c r="A287" s="5"/>
      <c r="B287" s="5"/>
      <c r="C287" s="5"/>
      <c r="D287" s="5"/>
    </row>
    <row r="288" spans="1:4" ht="15.75" customHeight="1" x14ac:dyDescent="0.3">
      <c r="A288" s="5"/>
      <c r="B288" s="5"/>
      <c r="C288" s="5"/>
      <c r="D288" s="5"/>
    </row>
    <row r="289" spans="1:4" ht="15.75" customHeight="1" x14ac:dyDescent="0.3">
      <c r="A289" s="5"/>
      <c r="B289" s="5"/>
      <c r="C289" s="5"/>
      <c r="D289" s="5"/>
    </row>
    <row r="290" spans="1:4" ht="15.75" customHeight="1" x14ac:dyDescent="0.3">
      <c r="A290" s="5"/>
      <c r="B290" s="5"/>
      <c r="C290" s="5"/>
      <c r="D290" s="5"/>
    </row>
    <row r="291" spans="1:4" ht="15.75" customHeight="1" x14ac:dyDescent="0.3">
      <c r="A291" s="5"/>
      <c r="B291" s="5"/>
      <c r="C291" s="5"/>
      <c r="D291" s="5"/>
    </row>
    <row r="292" spans="1:4" ht="15.75" customHeight="1" x14ac:dyDescent="0.3">
      <c r="A292" s="5"/>
      <c r="B292" s="5"/>
      <c r="C292" s="5"/>
      <c r="D292" s="5"/>
    </row>
    <row r="293" spans="1:4" ht="15.75" customHeight="1" x14ac:dyDescent="0.3">
      <c r="A293" s="5"/>
      <c r="B293" s="5"/>
      <c r="C293" s="5"/>
      <c r="D293" s="5"/>
    </row>
    <row r="294" spans="1:4" ht="15.75" customHeight="1" x14ac:dyDescent="0.3">
      <c r="A294" s="5"/>
      <c r="B294" s="5"/>
      <c r="C294" s="5"/>
      <c r="D294" s="5"/>
    </row>
    <row r="295" spans="1:4" ht="15.75" customHeight="1" x14ac:dyDescent="0.3">
      <c r="A295" s="5"/>
      <c r="B295" s="5"/>
      <c r="C295" s="5"/>
      <c r="D295" s="5"/>
    </row>
    <row r="296" spans="1:4" ht="15.75" customHeight="1" x14ac:dyDescent="0.3">
      <c r="A296" s="5"/>
      <c r="B296" s="5"/>
      <c r="C296" s="5"/>
      <c r="D296" s="5"/>
    </row>
    <row r="297" spans="1:4" ht="15.75" customHeight="1" x14ac:dyDescent="0.3">
      <c r="A297" s="5"/>
      <c r="B297" s="5"/>
      <c r="C297" s="5"/>
      <c r="D297" s="5"/>
    </row>
    <row r="298" spans="1:4" ht="15.75" customHeight="1" x14ac:dyDescent="0.3">
      <c r="A298" s="5"/>
      <c r="B298" s="5"/>
      <c r="C298" s="5"/>
      <c r="D298" s="5"/>
    </row>
    <row r="299" spans="1:4" ht="15.75" customHeight="1" x14ac:dyDescent="0.3">
      <c r="A299" s="5"/>
      <c r="B299" s="5"/>
      <c r="C299" s="5"/>
      <c r="D299" s="5"/>
    </row>
    <row r="300" spans="1:4" ht="15.75" customHeight="1" x14ac:dyDescent="0.3">
      <c r="A300" s="5"/>
      <c r="B300" s="5"/>
      <c r="C300" s="5"/>
      <c r="D300" s="5"/>
    </row>
    <row r="301" spans="1:4" ht="15.75" customHeight="1" x14ac:dyDescent="0.3">
      <c r="A301" s="5"/>
      <c r="B301" s="5"/>
      <c r="C301" s="5"/>
      <c r="D301" s="5"/>
    </row>
    <row r="302" spans="1:4" ht="15.75" customHeight="1" x14ac:dyDescent="0.3">
      <c r="A302" s="5"/>
      <c r="B302" s="5"/>
      <c r="C302" s="5"/>
      <c r="D302" s="5"/>
    </row>
    <row r="303" spans="1:4" ht="15.75" customHeight="1" x14ac:dyDescent="0.3">
      <c r="A303" s="5"/>
      <c r="B303" s="5"/>
      <c r="C303" s="5"/>
      <c r="D303" s="5"/>
    </row>
    <row r="304" spans="1:4" ht="15.75" customHeight="1" x14ac:dyDescent="0.3">
      <c r="A304" s="5"/>
      <c r="B304" s="5"/>
      <c r="C304" s="5"/>
      <c r="D304" s="5"/>
    </row>
    <row r="305" spans="1:4" ht="15.75" customHeight="1" x14ac:dyDescent="0.3">
      <c r="A305" s="5"/>
      <c r="B305" s="5"/>
      <c r="C305" s="5"/>
      <c r="D305" s="5"/>
    </row>
    <row r="306" spans="1:4" ht="15.75" customHeight="1" x14ac:dyDescent="0.3">
      <c r="A306" s="5"/>
      <c r="B306" s="5"/>
      <c r="C306" s="5"/>
      <c r="D306" s="5"/>
    </row>
    <row r="307" spans="1:4" ht="15.75" customHeight="1" x14ac:dyDescent="0.3">
      <c r="A307" s="5"/>
      <c r="B307" s="5"/>
      <c r="C307" s="5"/>
      <c r="D307" s="5"/>
    </row>
    <row r="308" spans="1:4" ht="15.75" customHeight="1" x14ac:dyDescent="0.3">
      <c r="A308" s="5"/>
      <c r="B308" s="5"/>
      <c r="C308" s="5"/>
      <c r="D308" s="5"/>
    </row>
    <row r="309" spans="1:4" ht="15.75" customHeight="1" x14ac:dyDescent="0.3">
      <c r="A309" s="5"/>
      <c r="B309" s="5"/>
      <c r="C309" s="5"/>
      <c r="D309" s="5"/>
    </row>
    <row r="310" spans="1:4" ht="15.75" customHeight="1" x14ac:dyDescent="0.3">
      <c r="A310" s="5"/>
      <c r="B310" s="5"/>
      <c r="C310" s="5"/>
      <c r="D310" s="5"/>
    </row>
    <row r="311" spans="1:4" ht="15.75" customHeight="1" x14ac:dyDescent="0.3">
      <c r="A311" s="5"/>
      <c r="B311" s="5"/>
      <c r="C311" s="5"/>
      <c r="D311" s="5"/>
    </row>
    <row r="312" spans="1:4" ht="15.75" customHeight="1" x14ac:dyDescent="0.3">
      <c r="A312" s="5"/>
      <c r="B312" s="5"/>
      <c r="C312" s="5"/>
      <c r="D312" s="5"/>
    </row>
    <row r="313" spans="1:4" ht="15.75" customHeight="1" x14ac:dyDescent="0.3">
      <c r="A313" s="5"/>
      <c r="B313" s="5"/>
      <c r="C313" s="5"/>
      <c r="D313" s="5"/>
    </row>
    <row r="314" spans="1:4" ht="15.75" customHeight="1" x14ac:dyDescent="0.3">
      <c r="A314" s="5"/>
      <c r="B314" s="5"/>
      <c r="C314" s="5"/>
      <c r="D314" s="5"/>
    </row>
    <row r="315" spans="1:4" ht="15.75" customHeight="1" x14ac:dyDescent="0.3">
      <c r="A315" s="5"/>
      <c r="B315" s="5"/>
      <c r="C315" s="5"/>
      <c r="D315" s="5"/>
    </row>
    <row r="316" spans="1:4" ht="15.75" customHeight="1" x14ac:dyDescent="0.3">
      <c r="A316" s="5"/>
      <c r="B316" s="5"/>
      <c r="C316" s="5"/>
      <c r="D316" s="5"/>
    </row>
    <row r="317" spans="1:4" ht="15.75" customHeight="1" x14ac:dyDescent="0.3">
      <c r="A317" s="5"/>
      <c r="B317" s="5"/>
      <c r="C317" s="5"/>
      <c r="D317" s="5"/>
    </row>
    <row r="318" spans="1:4" ht="15.75" customHeight="1" x14ac:dyDescent="0.3">
      <c r="A318" s="5"/>
      <c r="B318" s="5"/>
      <c r="C318" s="5"/>
      <c r="D318" s="5"/>
    </row>
    <row r="319" spans="1:4" ht="15.75" customHeight="1" x14ac:dyDescent="0.3">
      <c r="A319" s="5"/>
      <c r="B319" s="5"/>
      <c r="C319" s="5"/>
      <c r="D319" s="5"/>
    </row>
    <row r="320" spans="1:4" ht="15.75" customHeight="1" x14ac:dyDescent="0.3">
      <c r="A320" s="5"/>
      <c r="B320" s="5"/>
      <c r="C320" s="5"/>
      <c r="D320" s="5"/>
    </row>
    <row r="321" spans="1:4" ht="15.75" customHeight="1" x14ac:dyDescent="0.3">
      <c r="A321" s="5"/>
      <c r="B321" s="5"/>
      <c r="C321" s="5"/>
      <c r="D321" s="5"/>
    </row>
    <row r="322" spans="1:4" ht="15.75" customHeight="1" x14ac:dyDescent="0.3">
      <c r="A322" s="5"/>
      <c r="B322" s="5"/>
      <c r="C322" s="5"/>
      <c r="D322" s="5"/>
    </row>
    <row r="323" spans="1:4" ht="15.75" customHeight="1" x14ac:dyDescent="0.3">
      <c r="A323" s="5"/>
      <c r="B323" s="5"/>
      <c r="C323" s="5"/>
      <c r="D323" s="5"/>
    </row>
    <row r="324" spans="1:4" ht="15.75" customHeight="1" x14ac:dyDescent="0.3">
      <c r="A324" s="5"/>
      <c r="B324" s="5"/>
      <c r="C324" s="5"/>
      <c r="D324" s="5"/>
    </row>
    <row r="325" spans="1:4" ht="15.75" customHeight="1" x14ac:dyDescent="0.3">
      <c r="A325" s="5"/>
      <c r="B325" s="5"/>
      <c r="C325" s="5"/>
      <c r="D325" s="5"/>
    </row>
    <row r="326" spans="1:4" ht="15.75" customHeight="1" x14ac:dyDescent="0.3">
      <c r="A326" s="5"/>
      <c r="B326" s="5"/>
      <c r="C326" s="5"/>
      <c r="D326" s="5"/>
    </row>
    <row r="327" spans="1:4" ht="15.75" customHeight="1" x14ac:dyDescent="0.3">
      <c r="A327" s="5"/>
      <c r="B327" s="5"/>
      <c r="C327" s="5"/>
      <c r="D327" s="5"/>
    </row>
    <row r="328" spans="1:4" ht="15.75" customHeight="1" x14ac:dyDescent="0.3">
      <c r="A328" s="5"/>
      <c r="B328" s="5"/>
      <c r="C328" s="5"/>
      <c r="D328" s="5"/>
    </row>
    <row r="329" spans="1:4" ht="15.75" customHeight="1" x14ac:dyDescent="0.3">
      <c r="A329" s="5"/>
      <c r="B329" s="5"/>
      <c r="C329" s="5"/>
      <c r="D329" s="5"/>
    </row>
    <row r="330" spans="1:4" ht="15.75" customHeight="1" x14ac:dyDescent="0.3">
      <c r="A330" s="5"/>
      <c r="B330" s="5"/>
      <c r="C330" s="5"/>
      <c r="D330" s="5"/>
    </row>
    <row r="331" spans="1:4" ht="15.75" customHeight="1" x14ac:dyDescent="0.3">
      <c r="A331" s="5"/>
      <c r="B331" s="5"/>
      <c r="C331" s="5"/>
      <c r="D331" s="5"/>
    </row>
    <row r="332" spans="1:4" ht="15.75" customHeight="1" x14ac:dyDescent="0.3">
      <c r="A332" s="5"/>
      <c r="B332" s="5"/>
      <c r="C332" s="5"/>
      <c r="D332" s="5"/>
    </row>
    <row r="333" spans="1:4" ht="15.75" customHeight="1" x14ac:dyDescent="0.3">
      <c r="A333" s="5"/>
      <c r="B333" s="5"/>
      <c r="C333" s="5"/>
      <c r="D333" s="5"/>
    </row>
    <row r="334" spans="1:4" ht="15.75" customHeight="1" x14ac:dyDescent="0.3">
      <c r="A334" s="5"/>
      <c r="B334" s="5"/>
      <c r="C334" s="5"/>
      <c r="D334" s="5"/>
    </row>
    <row r="335" spans="1:4" ht="15.75" customHeight="1" x14ac:dyDescent="0.3">
      <c r="A335" s="5"/>
      <c r="B335" s="5"/>
      <c r="C335" s="5"/>
      <c r="D335" s="5"/>
    </row>
    <row r="336" spans="1:4" ht="15.75" customHeight="1" x14ac:dyDescent="0.3">
      <c r="A336" s="5"/>
      <c r="B336" s="5"/>
      <c r="C336" s="5"/>
      <c r="D336" s="5"/>
    </row>
    <row r="337" spans="1:4" ht="15.75" customHeight="1" x14ac:dyDescent="0.3">
      <c r="A337" s="5"/>
      <c r="B337" s="5"/>
      <c r="C337" s="5"/>
      <c r="D337" s="5"/>
    </row>
    <row r="338" spans="1:4" ht="15.75" customHeight="1" x14ac:dyDescent="0.3">
      <c r="A338" s="5"/>
      <c r="B338" s="5"/>
      <c r="C338" s="5"/>
      <c r="D338" s="5"/>
    </row>
    <row r="339" spans="1:4" ht="15.75" customHeight="1" x14ac:dyDescent="0.3">
      <c r="A339" s="5"/>
      <c r="B339" s="5"/>
      <c r="C339" s="5"/>
      <c r="D339" s="5"/>
    </row>
    <row r="340" spans="1:4" ht="15.75" customHeight="1" x14ac:dyDescent="0.3">
      <c r="A340" s="5"/>
      <c r="B340" s="5"/>
      <c r="C340" s="5"/>
      <c r="D340" s="5"/>
    </row>
    <row r="341" spans="1:4" ht="15.75" customHeight="1" x14ac:dyDescent="0.3">
      <c r="A341" s="5"/>
      <c r="B341" s="5"/>
      <c r="C341" s="5"/>
      <c r="D341" s="5"/>
    </row>
    <row r="342" spans="1:4" ht="15.75" customHeight="1" x14ac:dyDescent="0.3">
      <c r="A342" s="5"/>
      <c r="B342" s="5"/>
      <c r="C342" s="5"/>
      <c r="D342" s="5"/>
    </row>
    <row r="343" spans="1:4" ht="15.75" customHeight="1" x14ac:dyDescent="0.3">
      <c r="A343" s="5"/>
      <c r="B343" s="5"/>
      <c r="C343" s="5"/>
      <c r="D343" s="5"/>
    </row>
    <row r="344" spans="1:4" ht="15.75" customHeight="1" x14ac:dyDescent="0.3">
      <c r="A344" s="5"/>
      <c r="B344" s="5"/>
      <c r="C344" s="5"/>
      <c r="D344" s="5"/>
    </row>
    <row r="345" spans="1:4" ht="15.75" customHeight="1" x14ac:dyDescent="0.3">
      <c r="A345" s="5"/>
      <c r="B345" s="5"/>
      <c r="C345" s="5"/>
      <c r="D345" s="5"/>
    </row>
    <row r="346" spans="1:4" ht="15.75" customHeight="1" x14ac:dyDescent="0.3">
      <c r="A346" s="5"/>
      <c r="B346" s="5"/>
      <c r="C346" s="5"/>
      <c r="D346" s="5"/>
    </row>
    <row r="347" spans="1:4" ht="15.75" customHeight="1" x14ac:dyDescent="0.3">
      <c r="A347" s="5"/>
      <c r="B347" s="5"/>
      <c r="C347" s="5"/>
      <c r="D347" s="5"/>
    </row>
    <row r="348" spans="1:4" ht="15.75" customHeight="1" x14ac:dyDescent="0.3">
      <c r="A348" s="5"/>
      <c r="B348" s="5"/>
      <c r="C348" s="5"/>
      <c r="D348" s="5"/>
    </row>
    <row r="349" spans="1:4" ht="15.75" customHeight="1" x14ac:dyDescent="0.3">
      <c r="A349" s="5"/>
      <c r="B349" s="5"/>
      <c r="C349" s="5"/>
      <c r="D349" s="5"/>
    </row>
    <row r="350" spans="1:4" ht="15.75" customHeight="1" x14ac:dyDescent="0.3">
      <c r="A350" s="5"/>
      <c r="B350" s="5"/>
      <c r="C350" s="5"/>
      <c r="D350" s="5"/>
    </row>
    <row r="351" spans="1:4" ht="15.75" customHeight="1" x14ac:dyDescent="0.3">
      <c r="A351" s="5"/>
      <c r="B351" s="5"/>
      <c r="C351" s="5"/>
      <c r="D351" s="5"/>
    </row>
    <row r="352" spans="1:4" ht="15.75" customHeight="1" x14ac:dyDescent="0.3">
      <c r="A352" s="5"/>
      <c r="B352" s="5"/>
      <c r="C352" s="5"/>
      <c r="D352" s="5"/>
    </row>
    <row r="353" spans="1:4" ht="15.75" customHeight="1" x14ac:dyDescent="0.3">
      <c r="A353" s="5"/>
      <c r="B353" s="5"/>
      <c r="C353" s="5"/>
      <c r="D353" s="5"/>
    </row>
    <row r="354" spans="1:4" ht="15.75" customHeight="1" x14ac:dyDescent="0.3">
      <c r="A354" s="5"/>
      <c r="B354" s="5"/>
      <c r="C354" s="5"/>
      <c r="D354" s="5"/>
    </row>
    <row r="355" spans="1:4" ht="15.75" customHeight="1" x14ac:dyDescent="0.3">
      <c r="A355" s="5"/>
      <c r="B355" s="5"/>
      <c r="C355" s="5"/>
      <c r="D355" s="5"/>
    </row>
    <row r="356" spans="1:4" ht="15.75" customHeight="1" x14ac:dyDescent="0.3">
      <c r="A356" s="5"/>
      <c r="B356" s="5"/>
      <c r="C356" s="5"/>
      <c r="D356" s="5"/>
    </row>
    <row r="357" spans="1:4" ht="15.75" customHeight="1" x14ac:dyDescent="0.3">
      <c r="A357" s="5"/>
      <c r="B357" s="5"/>
      <c r="C357" s="5"/>
      <c r="D357" s="5"/>
    </row>
    <row r="358" spans="1:4" ht="15.75" customHeight="1" x14ac:dyDescent="0.3">
      <c r="A358" s="5"/>
      <c r="B358" s="5"/>
      <c r="C358" s="5"/>
      <c r="D358" s="5"/>
    </row>
    <row r="359" spans="1:4" ht="15.75" customHeight="1" x14ac:dyDescent="0.3">
      <c r="A359" s="5"/>
      <c r="B359" s="5"/>
      <c r="C359" s="5"/>
      <c r="D359" s="5"/>
    </row>
    <row r="360" spans="1:4" ht="15.75" customHeight="1" x14ac:dyDescent="0.3">
      <c r="A360" s="5"/>
      <c r="B360" s="5"/>
      <c r="C360" s="5"/>
      <c r="D360" s="5"/>
    </row>
    <row r="361" spans="1:4" ht="15.75" customHeight="1" x14ac:dyDescent="0.3">
      <c r="A361" s="5"/>
      <c r="B361" s="5"/>
      <c r="C361" s="5"/>
      <c r="D361" s="5"/>
    </row>
    <row r="362" spans="1:4" ht="15.75" customHeight="1" x14ac:dyDescent="0.3">
      <c r="A362" s="5"/>
      <c r="B362" s="5"/>
      <c r="C362" s="5"/>
      <c r="D362" s="5"/>
    </row>
    <row r="363" spans="1:4" ht="15.75" customHeight="1" x14ac:dyDescent="0.3">
      <c r="A363" s="5"/>
      <c r="B363" s="5"/>
      <c r="C363" s="5"/>
      <c r="D363" s="5"/>
    </row>
    <row r="364" spans="1:4" ht="15.75" customHeight="1" x14ac:dyDescent="0.3">
      <c r="A364" s="5"/>
      <c r="B364" s="5"/>
      <c r="C364" s="5"/>
      <c r="D364" s="5"/>
    </row>
    <row r="365" spans="1:4" ht="15.75" customHeight="1" x14ac:dyDescent="0.3">
      <c r="A365" s="5"/>
      <c r="B365" s="5"/>
      <c r="C365" s="5"/>
      <c r="D365" s="5"/>
    </row>
    <row r="366" spans="1:4" ht="15.75" customHeight="1" x14ac:dyDescent="0.3">
      <c r="A366" s="5"/>
      <c r="B366" s="5"/>
      <c r="C366" s="5"/>
      <c r="D366" s="5"/>
    </row>
    <row r="367" spans="1:4" ht="15.75" customHeight="1" x14ac:dyDescent="0.3">
      <c r="A367" s="5"/>
      <c r="B367" s="5"/>
      <c r="C367" s="5"/>
      <c r="D367" s="5"/>
    </row>
    <row r="368" spans="1:4" ht="15.75" customHeight="1" x14ac:dyDescent="0.3">
      <c r="A368" s="5"/>
      <c r="B368" s="5"/>
      <c r="C368" s="5"/>
      <c r="D368" s="5"/>
    </row>
    <row r="369" spans="1:4" ht="15.75" customHeight="1" x14ac:dyDescent="0.3">
      <c r="A369" s="5"/>
      <c r="B369" s="5"/>
      <c r="C369" s="5"/>
      <c r="D369" s="5"/>
    </row>
    <row r="370" spans="1:4" ht="15.75" customHeight="1" x14ac:dyDescent="0.3">
      <c r="A370" s="5"/>
      <c r="B370" s="5"/>
      <c r="C370" s="5"/>
      <c r="D370" s="5"/>
    </row>
    <row r="371" spans="1:4" ht="15.75" customHeight="1" x14ac:dyDescent="0.3">
      <c r="A371" s="5"/>
      <c r="B371" s="5"/>
      <c r="C371" s="5"/>
      <c r="D371" s="5"/>
    </row>
    <row r="372" spans="1:4" ht="15.75" customHeight="1" x14ac:dyDescent="0.3">
      <c r="A372" s="5"/>
      <c r="B372" s="5"/>
      <c r="C372" s="5"/>
      <c r="D372" s="5"/>
    </row>
    <row r="373" spans="1:4" ht="15.75" customHeight="1" x14ac:dyDescent="0.3">
      <c r="A373" s="5"/>
      <c r="B373" s="5"/>
      <c r="C373" s="5"/>
      <c r="D373" s="5"/>
    </row>
    <row r="374" spans="1:4" ht="15.75" customHeight="1" x14ac:dyDescent="0.3">
      <c r="A374" s="5"/>
      <c r="B374" s="5"/>
      <c r="C374" s="5"/>
      <c r="D374" s="5"/>
    </row>
    <row r="375" spans="1:4" ht="15.75" customHeight="1" x14ac:dyDescent="0.3">
      <c r="A375" s="5"/>
      <c r="B375" s="5"/>
      <c r="C375" s="5"/>
      <c r="D375" s="5"/>
    </row>
    <row r="376" spans="1:4" ht="15.75" customHeight="1" x14ac:dyDescent="0.3">
      <c r="A376" s="5"/>
      <c r="B376" s="5"/>
      <c r="C376" s="5"/>
      <c r="D376" s="5"/>
    </row>
    <row r="377" spans="1:4" ht="15.75" customHeight="1" x14ac:dyDescent="0.3">
      <c r="A377" s="5"/>
      <c r="B377" s="5"/>
      <c r="C377" s="5"/>
      <c r="D377" s="5"/>
    </row>
    <row r="378" spans="1:4" ht="15.75" customHeight="1" x14ac:dyDescent="0.3">
      <c r="A378" s="5"/>
      <c r="B378" s="5"/>
      <c r="C378" s="5"/>
      <c r="D378" s="5"/>
    </row>
    <row r="379" spans="1:4" ht="15.75" customHeight="1" x14ac:dyDescent="0.3">
      <c r="A379" s="5"/>
      <c r="B379" s="5"/>
      <c r="C379" s="5"/>
      <c r="D379" s="5"/>
    </row>
    <row r="380" spans="1:4" ht="15.75" customHeight="1" x14ac:dyDescent="0.3">
      <c r="A380" s="5"/>
      <c r="B380" s="5"/>
      <c r="C380" s="5"/>
      <c r="D380" s="5"/>
    </row>
    <row r="381" spans="1:4" ht="15.75" customHeight="1" x14ac:dyDescent="0.3">
      <c r="A381" s="5"/>
      <c r="B381" s="5"/>
      <c r="C381" s="5"/>
      <c r="D381" s="5"/>
    </row>
    <row r="382" spans="1:4" ht="15.75" customHeight="1" x14ac:dyDescent="0.3">
      <c r="A382" s="5"/>
      <c r="B382" s="5"/>
      <c r="C382" s="5"/>
      <c r="D382" s="5"/>
    </row>
    <row r="383" spans="1:4" ht="15.75" customHeight="1" x14ac:dyDescent="0.3">
      <c r="A383" s="5"/>
      <c r="B383" s="5"/>
      <c r="C383" s="5"/>
      <c r="D383" s="5"/>
    </row>
    <row r="384" spans="1:4" ht="15.75" customHeight="1" x14ac:dyDescent="0.3">
      <c r="A384" s="5"/>
      <c r="B384" s="5"/>
      <c r="C384" s="5"/>
      <c r="D384" s="5"/>
    </row>
    <row r="385" spans="1:4" ht="15.75" customHeight="1" x14ac:dyDescent="0.3">
      <c r="A385" s="5"/>
      <c r="B385" s="5"/>
      <c r="C385" s="5"/>
      <c r="D385" s="5"/>
    </row>
    <row r="386" spans="1:4" ht="15.75" customHeight="1" x14ac:dyDescent="0.3">
      <c r="A386" s="5"/>
      <c r="B386" s="5"/>
      <c r="C386" s="5"/>
      <c r="D386" s="5"/>
    </row>
    <row r="387" spans="1:4" ht="15.75" customHeight="1" x14ac:dyDescent="0.3">
      <c r="A387" s="5"/>
      <c r="B387" s="5"/>
      <c r="C387" s="5"/>
      <c r="D387" s="5"/>
    </row>
    <row r="388" spans="1:4" ht="15.75" customHeight="1" x14ac:dyDescent="0.3">
      <c r="A388" s="5"/>
      <c r="B388" s="5"/>
      <c r="C388" s="5"/>
      <c r="D388" s="5"/>
    </row>
    <row r="389" spans="1:4" ht="15.75" customHeight="1" x14ac:dyDescent="0.3">
      <c r="A389" s="5"/>
      <c r="B389" s="5"/>
      <c r="C389" s="5"/>
      <c r="D389" s="5"/>
    </row>
    <row r="390" spans="1:4" ht="15.75" customHeight="1" x14ac:dyDescent="0.3">
      <c r="A390" s="5"/>
      <c r="B390" s="5"/>
      <c r="C390" s="5"/>
      <c r="D390" s="5"/>
    </row>
    <row r="391" spans="1:4" ht="15.75" customHeight="1" x14ac:dyDescent="0.3">
      <c r="A391" s="5"/>
      <c r="B391" s="5"/>
      <c r="C391" s="5"/>
      <c r="D391" s="5"/>
    </row>
    <row r="392" spans="1:4" ht="15.75" customHeight="1" x14ac:dyDescent="0.3">
      <c r="A392" s="5"/>
      <c r="B392" s="5"/>
      <c r="C392" s="5"/>
      <c r="D392" s="5"/>
    </row>
    <row r="393" spans="1:4" ht="15.75" customHeight="1" x14ac:dyDescent="0.3">
      <c r="A393" s="5"/>
      <c r="B393" s="5"/>
      <c r="C393" s="5"/>
      <c r="D393" s="5"/>
    </row>
    <row r="394" spans="1:4" ht="15.75" customHeight="1" x14ac:dyDescent="0.3">
      <c r="A394" s="5"/>
      <c r="B394" s="5"/>
      <c r="C394" s="5"/>
      <c r="D394" s="5"/>
    </row>
    <row r="395" spans="1:4" ht="15.75" customHeight="1" x14ac:dyDescent="0.3">
      <c r="A395" s="5"/>
      <c r="B395" s="5"/>
      <c r="C395" s="5"/>
      <c r="D395" s="5"/>
    </row>
    <row r="396" spans="1:4" ht="15.75" customHeight="1" x14ac:dyDescent="0.3">
      <c r="A396" s="5"/>
      <c r="B396" s="5"/>
      <c r="C396" s="5"/>
      <c r="D396" s="5"/>
    </row>
    <row r="397" spans="1:4" ht="15.75" customHeight="1" x14ac:dyDescent="0.3">
      <c r="A397" s="5"/>
      <c r="B397" s="5"/>
      <c r="C397" s="5"/>
      <c r="D397" s="5"/>
    </row>
    <row r="398" spans="1:4" ht="15.75" customHeight="1" x14ac:dyDescent="0.3">
      <c r="A398" s="5"/>
      <c r="B398" s="5"/>
      <c r="C398" s="5"/>
      <c r="D398" s="5"/>
    </row>
    <row r="399" spans="1:4" ht="15.75" customHeight="1" x14ac:dyDescent="0.3">
      <c r="A399" s="5"/>
      <c r="B399" s="5"/>
      <c r="C399" s="5"/>
      <c r="D399" s="5"/>
    </row>
    <row r="400" spans="1:4" ht="15.75" customHeight="1" x14ac:dyDescent="0.3">
      <c r="A400" s="5"/>
      <c r="B400" s="5"/>
      <c r="C400" s="5"/>
      <c r="D400" s="5"/>
    </row>
    <row r="401" spans="1:4" ht="15.75" customHeight="1" x14ac:dyDescent="0.3">
      <c r="A401" s="5"/>
      <c r="B401" s="5"/>
      <c r="C401" s="5"/>
      <c r="D401" s="5"/>
    </row>
    <row r="402" spans="1:4" ht="15.75" customHeight="1" x14ac:dyDescent="0.3">
      <c r="A402" s="5"/>
      <c r="B402" s="5"/>
      <c r="C402" s="5"/>
      <c r="D402" s="5"/>
    </row>
    <row r="403" spans="1:4" ht="15.75" customHeight="1" x14ac:dyDescent="0.3">
      <c r="A403" s="5"/>
      <c r="B403" s="5"/>
      <c r="C403" s="5"/>
      <c r="D403" s="5"/>
    </row>
    <row r="404" spans="1:4" ht="15.75" customHeight="1" x14ac:dyDescent="0.3">
      <c r="A404" s="5"/>
      <c r="B404" s="5"/>
      <c r="C404" s="5"/>
      <c r="D404" s="5"/>
    </row>
    <row r="405" spans="1:4" ht="15.75" customHeight="1" x14ac:dyDescent="0.3">
      <c r="A405" s="5"/>
      <c r="B405" s="5"/>
      <c r="C405" s="5"/>
      <c r="D405" s="5"/>
    </row>
    <row r="406" spans="1:4" ht="15.75" customHeight="1" x14ac:dyDescent="0.3">
      <c r="A406" s="5"/>
      <c r="B406" s="5"/>
      <c r="C406" s="5"/>
      <c r="D406" s="5"/>
    </row>
    <row r="407" spans="1:4" ht="15.75" customHeight="1" x14ac:dyDescent="0.3">
      <c r="A407" s="5"/>
      <c r="B407" s="5"/>
      <c r="C407" s="5"/>
      <c r="D407" s="5"/>
    </row>
    <row r="408" spans="1:4" ht="15.75" customHeight="1" x14ac:dyDescent="0.3">
      <c r="A408" s="5"/>
      <c r="B408" s="5"/>
      <c r="C408" s="5"/>
      <c r="D408" s="5"/>
    </row>
    <row r="409" spans="1:4" ht="15.75" customHeight="1" x14ac:dyDescent="0.3">
      <c r="A409" s="5"/>
      <c r="B409" s="5"/>
      <c r="C409" s="5"/>
      <c r="D409" s="5"/>
    </row>
    <row r="410" spans="1:4" ht="15.75" customHeight="1" x14ac:dyDescent="0.3">
      <c r="A410" s="5"/>
      <c r="B410" s="5"/>
      <c r="C410" s="5"/>
      <c r="D410" s="5"/>
    </row>
    <row r="411" spans="1:4" ht="15.75" customHeight="1" x14ac:dyDescent="0.3">
      <c r="A411" s="5"/>
      <c r="B411" s="5"/>
      <c r="C411" s="5"/>
      <c r="D411" s="5"/>
    </row>
    <row r="412" spans="1:4" ht="15.75" customHeight="1" x14ac:dyDescent="0.3">
      <c r="A412" s="5"/>
      <c r="B412" s="5"/>
      <c r="C412" s="5"/>
      <c r="D412" s="5"/>
    </row>
    <row r="413" spans="1:4" ht="15.75" customHeight="1" x14ac:dyDescent="0.3">
      <c r="A413" s="5"/>
      <c r="B413" s="5"/>
      <c r="C413" s="5"/>
      <c r="D413" s="5"/>
    </row>
    <row r="414" spans="1:4" ht="15.75" customHeight="1" x14ac:dyDescent="0.3">
      <c r="A414" s="5"/>
      <c r="B414" s="5"/>
      <c r="C414" s="5"/>
      <c r="D414" s="5"/>
    </row>
    <row r="415" spans="1:4" ht="15.75" customHeight="1" x14ac:dyDescent="0.3">
      <c r="A415" s="5"/>
      <c r="B415" s="5"/>
      <c r="C415" s="5"/>
      <c r="D415" s="5"/>
    </row>
    <row r="416" spans="1:4" ht="15.75" customHeight="1" x14ac:dyDescent="0.3">
      <c r="A416" s="5"/>
      <c r="B416" s="5"/>
      <c r="C416" s="5"/>
      <c r="D416" s="5"/>
    </row>
    <row r="417" spans="1:4" ht="15.75" customHeight="1" x14ac:dyDescent="0.3">
      <c r="A417" s="5"/>
      <c r="B417" s="5"/>
      <c r="C417" s="5"/>
      <c r="D417" s="5"/>
    </row>
    <row r="418" spans="1:4" ht="15.75" customHeight="1" x14ac:dyDescent="0.3">
      <c r="A418" s="5"/>
      <c r="B418" s="5"/>
      <c r="C418" s="5"/>
      <c r="D418" s="5"/>
    </row>
    <row r="419" spans="1:4" ht="15.75" customHeight="1" x14ac:dyDescent="0.3">
      <c r="A419" s="5"/>
      <c r="B419" s="5"/>
      <c r="C419" s="5"/>
      <c r="D419" s="5"/>
    </row>
    <row r="420" spans="1:4" ht="15.75" customHeight="1" x14ac:dyDescent="0.3">
      <c r="A420" s="5"/>
      <c r="B420" s="5"/>
      <c r="C420" s="5"/>
      <c r="D420" s="5"/>
    </row>
    <row r="421" spans="1:4" ht="15.75" customHeight="1" x14ac:dyDescent="0.3">
      <c r="A421" s="5"/>
      <c r="B421" s="5"/>
      <c r="C421" s="5"/>
      <c r="D421" s="5"/>
    </row>
    <row r="422" spans="1:4" ht="15.75" customHeight="1" x14ac:dyDescent="0.3">
      <c r="A422" s="5"/>
      <c r="B422" s="5"/>
      <c r="C422" s="5"/>
      <c r="D422" s="5"/>
    </row>
    <row r="423" spans="1:4" ht="15.75" customHeight="1" x14ac:dyDescent="0.3">
      <c r="A423" s="5"/>
      <c r="B423" s="5"/>
      <c r="C423" s="5"/>
      <c r="D423" s="5"/>
    </row>
    <row r="424" spans="1:4" ht="15.75" customHeight="1" x14ac:dyDescent="0.3">
      <c r="A424" s="5"/>
      <c r="B424" s="5"/>
      <c r="C424" s="5"/>
      <c r="D424" s="5"/>
    </row>
    <row r="425" spans="1:4" ht="15.75" customHeight="1" x14ac:dyDescent="0.3">
      <c r="A425" s="5"/>
      <c r="B425" s="5"/>
      <c r="C425" s="5"/>
      <c r="D425" s="5"/>
    </row>
    <row r="426" spans="1:4" ht="15.75" customHeight="1" x14ac:dyDescent="0.3">
      <c r="A426" s="5"/>
      <c r="B426" s="5"/>
      <c r="C426" s="5"/>
      <c r="D426" s="5"/>
    </row>
    <row r="427" spans="1:4" ht="15.75" customHeight="1" x14ac:dyDescent="0.3">
      <c r="A427" s="5"/>
      <c r="B427" s="5"/>
      <c r="C427" s="5"/>
      <c r="D427" s="5"/>
    </row>
    <row r="428" spans="1:4" ht="15.75" customHeight="1" x14ac:dyDescent="0.3">
      <c r="A428" s="5"/>
      <c r="B428" s="5"/>
      <c r="C428" s="5"/>
      <c r="D428" s="5"/>
    </row>
    <row r="429" spans="1:4" ht="15.75" customHeight="1" x14ac:dyDescent="0.3">
      <c r="A429" s="5"/>
      <c r="B429" s="5"/>
      <c r="C429" s="5"/>
      <c r="D429" s="5"/>
    </row>
    <row r="430" spans="1:4" ht="15.75" customHeight="1" x14ac:dyDescent="0.3">
      <c r="A430" s="5"/>
      <c r="B430" s="5"/>
      <c r="C430" s="5"/>
      <c r="D430" s="5"/>
    </row>
    <row r="431" spans="1:4" ht="15.75" customHeight="1" x14ac:dyDescent="0.3">
      <c r="A431" s="5"/>
      <c r="B431" s="5"/>
      <c r="C431" s="5"/>
      <c r="D431" s="5"/>
    </row>
    <row r="432" spans="1:4" ht="15.75" customHeight="1" x14ac:dyDescent="0.3">
      <c r="A432" s="5"/>
      <c r="B432" s="5"/>
      <c r="C432" s="5"/>
      <c r="D432" s="5"/>
    </row>
    <row r="433" spans="1:4" ht="15.75" customHeight="1" x14ac:dyDescent="0.3">
      <c r="A433" s="5"/>
      <c r="B433" s="5"/>
      <c r="C433" s="5"/>
      <c r="D433" s="5"/>
    </row>
    <row r="434" spans="1:4" ht="15.75" customHeight="1" x14ac:dyDescent="0.3">
      <c r="A434" s="5"/>
      <c r="B434" s="5"/>
      <c r="C434" s="5"/>
      <c r="D434" s="5"/>
    </row>
    <row r="435" spans="1:4" ht="15.75" customHeight="1" x14ac:dyDescent="0.3">
      <c r="A435" s="5"/>
      <c r="B435" s="5"/>
      <c r="C435" s="5"/>
      <c r="D435" s="5"/>
    </row>
    <row r="436" spans="1:4" ht="15.75" customHeight="1" x14ac:dyDescent="0.3">
      <c r="A436" s="5"/>
      <c r="B436" s="5"/>
      <c r="C436" s="5"/>
      <c r="D436" s="5"/>
    </row>
    <row r="437" spans="1:4" ht="15.75" customHeight="1" x14ac:dyDescent="0.3">
      <c r="A437" s="5"/>
      <c r="B437" s="5"/>
      <c r="C437" s="5"/>
      <c r="D437" s="5"/>
    </row>
    <row r="438" spans="1:4" ht="15.75" customHeight="1" x14ac:dyDescent="0.3">
      <c r="A438" s="5"/>
      <c r="B438" s="5"/>
      <c r="C438" s="5"/>
      <c r="D438" s="5"/>
    </row>
    <row r="439" spans="1:4" ht="15.75" customHeight="1" x14ac:dyDescent="0.3">
      <c r="A439" s="5"/>
      <c r="B439" s="5"/>
      <c r="C439" s="5"/>
      <c r="D439" s="5"/>
    </row>
    <row r="440" spans="1:4" ht="15.75" customHeight="1" x14ac:dyDescent="0.3">
      <c r="A440" s="5"/>
      <c r="B440" s="5"/>
      <c r="C440" s="5"/>
      <c r="D440" s="5"/>
    </row>
    <row r="441" spans="1:4" ht="15.75" customHeight="1" x14ac:dyDescent="0.3">
      <c r="A441" s="5"/>
      <c r="B441" s="5"/>
      <c r="C441" s="5"/>
      <c r="D441" s="5"/>
    </row>
    <row r="442" spans="1:4" ht="15.75" customHeight="1" x14ac:dyDescent="0.3">
      <c r="A442" s="5"/>
      <c r="B442" s="5"/>
      <c r="C442" s="5"/>
      <c r="D442" s="5"/>
    </row>
    <row r="443" spans="1:4" ht="15.75" customHeight="1" x14ac:dyDescent="0.3">
      <c r="A443" s="5"/>
      <c r="B443" s="5"/>
      <c r="C443" s="5"/>
      <c r="D443" s="5"/>
    </row>
    <row r="444" spans="1:4" ht="15.75" customHeight="1" x14ac:dyDescent="0.3">
      <c r="A444" s="5"/>
      <c r="B444" s="5"/>
      <c r="C444" s="5"/>
      <c r="D444" s="5"/>
    </row>
    <row r="445" spans="1:4" ht="15.75" customHeight="1" x14ac:dyDescent="0.3">
      <c r="A445" s="5"/>
      <c r="B445" s="5"/>
      <c r="C445" s="5"/>
      <c r="D445" s="5"/>
    </row>
    <row r="446" spans="1:4" ht="15.75" customHeight="1" x14ac:dyDescent="0.3">
      <c r="A446" s="5"/>
      <c r="B446" s="5"/>
      <c r="C446" s="5"/>
      <c r="D446" s="5"/>
    </row>
    <row r="447" spans="1:4" ht="15.75" customHeight="1" x14ac:dyDescent="0.3">
      <c r="A447" s="5"/>
      <c r="B447" s="5"/>
      <c r="C447" s="5"/>
      <c r="D447" s="5"/>
    </row>
    <row r="448" spans="1:4" ht="15.75" customHeight="1" x14ac:dyDescent="0.3">
      <c r="A448" s="5"/>
      <c r="B448" s="5"/>
      <c r="C448" s="5"/>
      <c r="D448" s="5"/>
    </row>
    <row r="449" spans="1:4" ht="15.75" customHeight="1" x14ac:dyDescent="0.3">
      <c r="A449" s="5"/>
      <c r="B449" s="5"/>
      <c r="C449" s="5"/>
      <c r="D449" s="5"/>
    </row>
    <row r="450" spans="1:4" ht="15.75" customHeight="1" x14ac:dyDescent="0.3">
      <c r="A450" s="5"/>
      <c r="B450" s="5"/>
      <c r="C450" s="5"/>
      <c r="D450" s="5"/>
    </row>
    <row r="451" spans="1:4" ht="15.75" customHeight="1" x14ac:dyDescent="0.3">
      <c r="A451" s="5"/>
      <c r="B451" s="5"/>
      <c r="C451" s="5"/>
      <c r="D451" s="5"/>
    </row>
    <row r="452" spans="1:4" ht="15.75" customHeight="1" x14ac:dyDescent="0.3">
      <c r="A452" s="5"/>
      <c r="B452" s="5"/>
      <c r="C452" s="5"/>
      <c r="D452" s="5"/>
    </row>
    <row r="453" spans="1:4" ht="15.75" customHeight="1" x14ac:dyDescent="0.3">
      <c r="A453" s="5"/>
      <c r="B453" s="5"/>
      <c r="C453" s="5"/>
      <c r="D453" s="5"/>
    </row>
    <row r="454" spans="1:4" ht="15.75" customHeight="1" x14ac:dyDescent="0.3">
      <c r="A454" s="5"/>
      <c r="B454" s="5"/>
      <c r="C454" s="5"/>
      <c r="D454" s="5"/>
    </row>
    <row r="455" spans="1:4" ht="15.75" customHeight="1" x14ac:dyDescent="0.3">
      <c r="A455" s="5"/>
      <c r="B455" s="5"/>
      <c r="C455" s="5"/>
      <c r="D455" s="5"/>
    </row>
    <row r="456" spans="1:4" ht="15.75" customHeight="1" x14ac:dyDescent="0.3">
      <c r="A456" s="5"/>
      <c r="B456" s="5"/>
      <c r="C456" s="5"/>
      <c r="D456" s="5"/>
    </row>
    <row r="457" spans="1:4" ht="15.75" customHeight="1" x14ac:dyDescent="0.3">
      <c r="A457" s="5"/>
      <c r="B457" s="5"/>
      <c r="C457" s="5"/>
      <c r="D457" s="5"/>
    </row>
    <row r="458" spans="1:4" ht="15.75" customHeight="1" x14ac:dyDescent="0.3">
      <c r="A458" s="5"/>
      <c r="B458" s="5"/>
      <c r="C458" s="5"/>
      <c r="D458" s="5"/>
    </row>
    <row r="459" spans="1:4" ht="15.75" customHeight="1" x14ac:dyDescent="0.3">
      <c r="A459" s="5"/>
      <c r="B459" s="5"/>
      <c r="C459" s="5"/>
      <c r="D459" s="5"/>
    </row>
    <row r="460" spans="1:4" ht="15.75" customHeight="1" x14ac:dyDescent="0.3">
      <c r="A460" s="5"/>
      <c r="B460" s="5"/>
      <c r="C460" s="5"/>
      <c r="D460" s="5"/>
    </row>
    <row r="461" spans="1:4" ht="15.75" customHeight="1" x14ac:dyDescent="0.3">
      <c r="A461" s="5"/>
      <c r="B461" s="5"/>
      <c r="C461" s="5"/>
      <c r="D461" s="5"/>
    </row>
    <row r="462" spans="1:4" ht="15.75" customHeight="1" x14ac:dyDescent="0.3">
      <c r="A462" s="5"/>
      <c r="B462" s="5"/>
      <c r="C462" s="5"/>
      <c r="D462" s="5"/>
    </row>
    <row r="463" spans="1:4" ht="15.75" customHeight="1" x14ac:dyDescent="0.3">
      <c r="A463" s="5"/>
      <c r="B463" s="5"/>
      <c r="C463" s="5"/>
      <c r="D463" s="5"/>
    </row>
    <row r="464" spans="1:4" ht="15.75" customHeight="1" x14ac:dyDescent="0.3">
      <c r="A464" s="5"/>
      <c r="B464" s="5"/>
      <c r="C464" s="5"/>
      <c r="D464" s="5"/>
    </row>
    <row r="465" spans="1:4" ht="15.75" customHeight="1" x14ac:dyDescent="0.3">
      <c r="A465" s="5"/>
      <c r="B465" s="5"/>
      <c r="C465" s="5"/>
      <c r="D465" s="5"/>
    </row>
    <row r="466" spans="1:4" ht="15.75" customHeight="1" x14ac:dyDescent="0.3">
      <c r="A466" s="5"/>
      <c r="B466" s="5"/>
      <c r="C466" s="5"/>
      <c r="D466" s="5"/>
    </row>
    <row r="467" spans="1:4" ht="15.75" customHeight="1" x14ac:dyDescent="0.3">
      <c r="A467" s="5"/>
      <c r="B467" s="5"/>
      <c r="C467" s="5"/>
      <c r="D467" s="5"/>
    </row>
    <row r="468" spans="1:4" ht="15.75" customHeight="1" x14ac:dyDescent="0.3">
      <c r="A468" s="5"/>
      <c r="B468" s="5"/>
      <c r="C468" s="5"/>
      <c r="D468" s="5"/>
    </row>
    <row r="469" spans="1:4" ht="15.75" customHeight="1" x14ac:dyDescent="0.3">
      <c r="A469" s="5"/>
      <c r="B469" s="5"/>
      <c r="C469" s="5"/>
      <c r="D469" s="5"/>
    </row>
    <row r="470" spans="1:4" ht="15.75" customHeight="1" x14ac:dyDescent="0.3">
      <c r="A470" s="5"/>
      <c r="B470" s="5"/>
      <c r="C470" s="5"/>
      <c r="D470" s="5"/>
    </row>
    <row r="471" spans="1:4" ht="15.75" customHeight="1" x14ac:dyDescent="0.3">
      <c r="A471" s="5"/>
      <c r="B471" s="5"/>
      <c r="C471" s="5"/>
      <c r="D471" s="5"/>
    </row>
    <row r="472" spans="1:4" ht="15.75" customHeight="1" x14ac:dyDescent="0.3">
      <c r="A472" s="5"/>
      <c r="B472" s="5"/>
      <c r="C472" s="5"/>
      <c r="D472" s="5"/>
    </row>
    <row r="473" spans="1:4" ht="15.75" customHeight="1" x14ac:dyDescent="0.3">
      <c r="A473" s="5"/>
      <c r="B473" s="5"/>
      <c r="C473" s="5"/>
      <c r="D473" s="5"/>
    </row>
    <row r="474" spans="1:4" ht="15.75" customHeight="1" x14ac:dyDescent="0.3">
      <c r="A474" s="5"/>
      <c r="B474" s="5"/>
      <c r="C474" s="5"/>
      <c r="D474" s="5"/>
    </row>
    <row r="475" spans="1:4" ht="15.75" customHeight="1" x14ac:dyDescent="0.3">
      <c r="A475" s="5"/>
      <c r="B475" s="5"/>
      <c r="C475" s="5"/>
      <c r="D475" s="5"/>
    </row>
    <row r="476" spans="1:4" ht="15.75" customHeight="1" x14ac:dyDescent="0.3">
      <c r="A476" s="5"/>
      <c r="B476" s="5"/>
      <c r="C476" s="5"/>
      <c r="D476" s="5"/>
    </row>
    <row r="477" spans="1:4" ht="15.75" customHeight="1" x14ac:dyDescent="0.3">
      <c r="A477" s="5"/>
      <c r="B477" s="5"/>
      <c r="C477" s="5"/>
      <c r="D477" s="5"/>
    </row>
    <row r="478" spans="1:4" ht="15.75" customHeight="1" x14ac:dyDescent="0.3">
      <c r="A478" s="5"/>
      <c r="B478" s="5"/>
      <c r="C478" s="5"/>
      <c r="D478" s="5"/>
    </row>
    <row r="479" spans="1:4" ht="15.75" customHeight="1" x14ac:dyDescent="0.3">
      <c r="A479" s="5"/>
      <c r="B479" s="5"/>
      <c r="C479" s="5"/>
      <c r="D479" s="5"/>
    </row>
    <row r="480" spans="1:4" ht="15.75" customHeight="1" x14ac:dyDescent="0.3">
      <c r="A480" s="5"/>
      <c r="B480" s="5"/>
      <c r="C480" s="5"/>
      <c r="D480" s="5"/>
    </row>
    <row r="481" spans="1:4" ht="15.75" customHeight="1" x14ac:dyDescent="0.3">
      <c r="A481" s="5"/>
      <c r="B481" s="5"/>
      <c r="C481" s="5"/>
      <c r="D481" s="5"/>
    </row>
    <row r="482" spans="1:4" ht="15.75" customHeight="1" x14ac:dyDescent="0.3">
      <c r="A482" s="5"/>
      <c r="B482" s="5"/>
      <c r="C482" s="5"/>
      <c r="D482" s="5"/>
    </row>
    <row r="483" spans="1:4" ht="15.75" customHeight="1" x14ac:dyDescent="0.3">
      <c r="A483" s="5"/>
      <c r="B483" s="5"/>
      <c r="C483" s="5"/>
      <c r="D483" s="5"/>
    </row>
    <row r="484" spans="1:4" ht="15.75" customHeight="1" x14ac:dyDescent="0.3">
      <c r="A484" s="5"/>
      <c r="B484" s="5"/>
      <c r="C484" s="5"/>
      <c r="D484" s="5"/>
    </row>
    <row r="485" spans="1:4" ht="15.75" customHeight="1" x14ac:dyDescent="0.3">
      <c r="A485" s="5"/>
      <c r="B485" s="5"/>
      <c r="C485" s="5"/>
      <c r="D485" s="5"/>
    </row>
    <row r="486" spans="1:4" ht="15.75" customHeight="1" x14ac:dyDescent="0.3">
      <c r="A486" s="5"/>
      <c r="B486" s="5"/>
      <c r="C486" s="5"/>
      <c r="D486" s="5"/>
    </row>
    <row r="487" spans="1:4" ht="15.75" customHeight="1" x14ac:dyDescent="0.3">
      <c r="A487" s="5"/>
      <c r="B487" s="5"/>
      <c r="C487" s="5"/>
      <c r="D487" s="5"/>
    </row>
    <row r="488" spans="1:4" ht="15.75" customHeight="1" x14ac:dyDescent="0.3">
      <c r="A488" s="5"/>
      <c r="B488" s="5"/>
      <c r="C488" s="5"/>
      <c r="D488" s="5"/>
    </row>
    <row r="489" spans="1:4" ht="15.75" customHeight="1" x14ac:dyDescent="0.3">
      <c r="A489" s="5"/>
      <c r="B489" s="5"/>
      <c r="C489" s="5"/>
      <c r="D489" s="5"/>
    </row>
    <row r="490" spans="1:4" ht="15.75" customHeight="1" x14ac:dyDescent="0.3">
      <c r="A490" s="5"/>
      <c r="B490" s="5"/>
      <c r="C490" s="5"/>
      <c r="D490" s="5"/>
    </row>
    <row r="491" spans="1:4" ht="15.75" customHeight="1" x14ac:dyDescent="0.3">
      <c r="A491" s="5"/>
      <c r="B491" s="5"/>
      <c r="C491" s="5"/>
      <c r="D491" s="5"/>
    </row>
    <row r="492" spans="1:4" ht="15.75" customHeight="1" x14ac:dyDescent="0.3">
      <c r="A492" s="5"/>
      <c r="B492" s="5"/>
      <c r="C492" s="5"/>
      <c r="D492" s="5"/>
    </row>
    <row r="493" spans="1:4" ht="15.75" customHeight="1" x14ac:dyDescent="0.3">
      <c r="A493" s="5"/>
      <c r="B493" s="5"/>
      <c r="C493" s="5"/>
      <c r="D493" s="5"/>
    </row>
    <row r="494" spans="1:4" ht="15.75" customHeight="1" x14ac:dyDescent="0.3">
      <c r="A494" s="5"/>
      <c r="B494" s="5"/>
      <c r="C494" s="5"/>
      <c r="D494" s="5"/>
    </row>
    <row r="495" spans="1:4" ht="15.75" customHeight="1" x14ac:dyDescent="0.3">
      <c r="A495" s="5"/>
      <c r="B495" s="5"/>
      <c r="C495" s="5"/>
      <c r="D495" s="5"/>
    </row>
    <row r="496" spans="1:4" ht="15.75" customHeight="1" x14ac:dyDescent="0.3">
      <c r="A496" s="5"/>
      <c r="B496" s="5"/>
      <c r="C496" s="5"/>
      <c r="D496" s="5"/>
    </row>
    <row r="497" spans="1:4" ht="15.75" customHeight="1" x14ac:dyDescent="0.3">
      <c r="A497" s="5"/>
      <c r="B497" s="5"/>
      <c r="C497" s="5"/>
      <c r="D497" s="5"/>
    </row>
    <row r="498" spans="1:4" ht="15.75" customHeight="1" x14ac:dyDescent="0.3">
      <c r="A498" s="5"/>
      <c r="B498" s="5"/>
      <c r="C498" s="5"/>
      <c r="D498" s="5"/>
    </row>
    <row r="499" spans="1:4" ht="15.75" customHeight="1" x14ac:dyDescent="0.3">
      <c r="A499" s="5"/>
      <c r="B499" s="5"/>
      <c r="C499" s="5"/>
      <c r="D499" s="5"/>
    </row>
    <row r="500" spans="1:4" ht="15.75" customHeight="1" x14ac:dyDescent="0.3">
      <c r="A500" s="5"/>
      <c r="B500" s="5"/>
      <c r="C500" s="5"/>
      <c r="D500" s="5"/>
    </row>
    <row r="501" spans="1:4" ht="15.75" customHeight="1" x14ac:dyDescent="0.3">
      <c r="A501" s="5"/>
      <c r="B501" s="5"/>
      <c r="C501" s="5"/>
      <c r="D501" s="5"/>
    </row>
    <row r="502" spans="1:4" ht="15.75" customHeight="1" x14ac:dyDescent="0.3">
      <c r="A502" s="5"/>
      <c r="B502" s="5"/>
      <c r="C502" s="5"/>
      <c r="D502" s="5"/>
    </row>
    <row r="503" spans="1:4" ht="15.75" customHeight="1" x14ac:dyDescent="0.3">
      <c r="A503" s="5"/>
      <c r="B503" s="5"/>
      <c r="C503" s="5"/>
      <c r="D503" s="5"/>
    </row>
    <row r="504" spans="1:4" ht="15.75" customHeight="1" x14ac:dyDescent="0.3">
      <c r="A504" s="5"/>
      <c r="B504" s="5"/>
      <c r="C504" s="5"/>
      <c r="D504" s="5"/>
    </row>
    <row r="505" spans="1:4" ht="15.75" customHeight="1" x14ac:dyDescent="0.3">
      <c r="A505" s="5"/>
      <c r="B505" s="5"/>
      <c r="C505" s="5"/>
      <c r="D505" s="5"/>
    </row>
    <row r="506" spans="1:4" ht="15.75" customHeight="1" x14ac:dyDescent="0.3">
      <c r="A506" s="5"/>
      <c r="B506" s="5"/>
      <c r="C506" s="5"/>
      <c r="D506" s="5"/>
    </row>
    <row r="507" spans="1:4" ht="15.75" customHeight="1" x14ac:dyDescent="0.3">
      <c r="A507" s="5"/>
      <c r="B507" s="5"/>
      <c r="C507" s="5"/>
      <c r="D507" s="5"/>
    </row>
    <row r="508" spans="1:4" ht="15.75" customHeight="1" x14ac:dyDescent="0.3">
      <c r="A508" s="5"/>
      <c r="B508" s="5"/>
      <c r="C508" s="5"/>
      <c r="D508" s="5"/>
    </row>
    <row r="509" spans="1:4" ht="15.75" customHeight="1" x14ac:dyDescent="0.3">
      <c r="A509" s="5"/>
      <c r="B509" s="5"/>
      <c r="C509" s="5"/>
      <c r="D509" s="5"/>
    </row>
    <row r="510" spans="1:4" ht="15.75" customHeight="1" x14ac:dyDescent="0.3">
      <c r="A510" s="5"/>
      <c r="B510" s="5"/>
      <c r="C510" s="5"/>
      <c r="D510" s="5"/>
    </row>
    <row r="511" spans="1:4" ht="15.75" customHeight="1" x14ac:dyDescent="0.3">
      <c r="A511" s="5"/>
      <c r="B511" s="5"/>
      <c r="C511" s="5"/>
      <c r="D511" s="5"/>
    </row>
    <row r="512" spans="1:4" ht="15.75" customHeight="1" x14ac:dyDescent="0.3">
      <c r="A512" s="5"/>
      <c r="B512" s="5"/>
      <c r="C512" s="5"/>
      <c r="D512" s="5"/>
    </row>
    <row r="513" spans="1:4" ht="15.75" customHeight="1" x14ac:dyDescent="0.3">
      <c r="A513" s="5"/>
      <c r="B513" s="5"/>
      <c r="C513" s="5"/>
      <c r="D513" s="5"/>
    </row>
    <row r="514" spans="1:4" ht="15.75" customHeight="1" x14ac:dyDescent="0.3">
      <c r="A514" s="5"/>
      <c r="B514" s="5"/>
      <c r="C514" s="5"/>
      <c r="D514" s="5"/>
    </row>
    <row r="515" spans="1:4" ht="15.75" customHeight="1" x14ac:dyDescent="0.3">
      <c r="A515" s="5"/>
      <c r="B515" s="5"/>
      <c r="C515" s="5"/>
      <c r="D515" s="5"/>
    </row>
    <row r="516" spans="1:4" ht="15.75" customHeight="1" x14ac:dyDescent="0.3">
      <c r="A516" s="5"/>
      <c r="B516" s="5"/>
      <c r="C516" s="5"/>
      <c r="D516" s="5"/>
    </row>
    <row r="517" spans="1:4" ht="15.75" customHeight="1" x14ac:dyDescent="0.3">
      <c r="A517" s="5"/>
      <c r="B517" s="5"/>
      <c r="C517" s="5"/>
      <c r="D517" s="5"/>
    </row>
    <row r="518" spans="1:4" ht="15.75" customHeight="1" x14ac:dyDescent="0.3">
      <c r="A518" s="5"/>
      <c r="B518" s="5"/>
      <c r="C518" s="5"/>
      <c r="D518" s="5"/>
    </row>
    <row r="519" spans="1:4" ht="15.75" customHeight="1" x14ac:dyDescent="0.3">
      <c r="A519" s="5"/>
      <c r="B519" s="5"/>
      <c r="C519" s="5"/>
      <c r="D519" s="5"/>
    </row>
    <row r="520" spans="1:4" ht="15.75" customHeight="1" x14ac:dyDescent="0.3">
      <c r="A520" s="5"/>
      <c r="B520" s="5"/>
      <c r="C520" s="5"/>
      <c r="D520" s="5"/>
    </row>
    <row r="521" spans="1:4" ht="15.75" customHeight="1" x14ac:dyDescent="0.3">
      <c r="A521" s="5"/>
      <c r="B521" s="5"/>
      <c r="C521" s="5"/>
      <c r="D521" s="5"/>
    </row>
    <row r="522" spans="1:4" ht="15.75" customHeight="1" x14ac:dyDescent="0.3">
      <c r="A522" s="5"/>
      <c r="B522" s="5"/>
      <c r="C522" s="5"/>
      <c r="D522" s="5"/>
    </row>
    <row r="523" spans="1:4" ht="15.75" customHeight="1" x14ac:dyDescent="0.3">
      <c r="A523" s="5"/>
      <c r="B523" s="5"/>
      <c r="C523" s="5"/>
      <c r="D523" s="5"/>
    </row>
    <row r="524" spans="1:4" ht="15.75" customHeight="1" x14ac:dyDescent="0.3">
      <c r="A524" s="5"/>
      <c r="B524" s="5"/>
      <c r="C524" s="5"/>
      <c r="D524" s="5"/>
    </row>
    <row r="525" spans="1:4" ht="15.75" customHeight="1" x14ac:dyDescent="0.3">
      <c r="A525" s="5"/>
      <c r="B525" s="5"/>
      <c r="C525" s="5"/>
      <c r="D525" s="5"/>
    </row>
    <row r="526" spans="1:4" ht="15.75" customHeight="1" x14ac:dyDescent="0.3">
      <c r="A526" s="5"/>
      <c r="B526" s="5"/>
      <c r="C526" s="5"/>
      <c r="D526" s="5"/>
    </row>
    <row r="527" spans="1:4" ht="15.75" customHeight="1" x14ac:dyDescent="0.3">
      <c r="A527" s="5"/>
      <c r="B527" s="5"/>
      <c r="C527" s="5"/>
      <c r="D527" s="5"/>
    </row>
    <row r="528" spans="1:4" ht="15.75" customHeight="1" x14ac:dyDescent="0.3">
      <c r="A528" s="5"/>
      <c r="B528" s="5"/>
      <c r="C528" s="5"/>
      <c r="D528" s="5"/>
    </row>
    <row r="529" spans="1:4" ht="15.75" customHeight="1" x14ac:dyDescent="0.3">
      <c r="A529" s="5"/>
      <c r="B529" s="5"/>
      <c r="C529" s="5"/>
      <c r="D529" s="5"/>
    </row>
    <row r="530" spans="1:4" ht="15.75" customHeight="1" x14ac:dyDescent="0.3">
      <c r="A530" s="5"/>
      <c r="B530" s="5"/>
      <c r="C530" s="5"/>
      <c r="D530" s="5"/>
    </row>
    <row r="531" spans="1:4" ht="15.75" customHeight="1" x14ac:dyDescent="0.3">
      <c r="A531" s="5"/>
      <c r="B531" s="5"/>
      <c r="C531" s="5"/>
      <c r="D531" s="5"/>
    </row>
    <row r="532" spans="1:4" ht="15.75" customHeight="1" x14ac:dyDescent="0.3">
      <c r="A532" s="5"/>
      <c r="B532" s="5"/>
      <c r="C532" s="5"/>
      <c r="D532" s="5"/>
    </row>
    <row r="533" spans="1:4" ht="15.75" customHeight="1" x14ac:dyDescent="0.3">
      <c r="A533" s="5"/>
      <c r="B533" s="5"/>
      <c r="C533" s="5"/>
      <c r="D533" s="5"/>
    </row>
    <row r="534" spans="1:4" ht="15.75" customHeight="1" x14ac:dyDescent="0.3">
      <c r="A534" s="5"/>
      <c r="B534" s="5"/>
      <c r="C534" s="5"/>
      <c r="D534" s="5"/>
    </row>
    <row r="535" spans="1:4" ht="15.75" customHeight="1" x14ac:dyDescent="0.3">
      <c r="A535" s="5"/>
      <c r="B535" s="5"/>
      <c r="C535" s="5"/>
      <c r="D535" s="5"/>
    </row>
    <row r="536" spans="1:4" ht="15.75" customHeight="1" x14ac:dyDescent="0.3">
      <c r="A536" s="5"/>
      <c r="B536" s="5"/>
      <c r="C536" s="5"/>
      <c r="D536" s="5"/>
    </row>
    <row r="537" spans="1:4" ht="15.75" customHeight="1" x14ac:dyDescent="0.3">
      <c r="A537" s="5"/>
      <c r="B537" s="5"/>
      <c r="C537" s="5"/>
      <c r="D537" s="5"/>
    </row>
    <row r="538" spans="1:4" ht="15.75" customHeight="1" x14ac:dyDescent="0.3">
      <c r="A538" s="5"/>
      <c r="B538" s="5"/>
      <c r="C538" s="5"/>
      <c r="D538" s="5"/>
    </row>
    <row r="539" spans="1:4" ht="15.75" customHeight="1" x14ac:dyDescent="0.3">
      <c r="A539" s="5"/>
      <c r="B539" s="5"/>
      <c r="C539" s="5"/>
      <c r="D539" s="5"/>
    </row>
    <row r="540" spans="1:4" ht="15.75" customHeight="1" x14ac:dyDescent="0.3">
      <c r="A540" s="5"/>
      <c r="B540" s="5"/>
      <c r="C540" s="5"/>
      <c r="D540" s="5"/>
    </row>
    <row r="541" spans="1:4" ht="15.75" customHeight="1" x14ac:dyDescent="0.3">
      <c r="A541" s="5"/>
      <c r="B541" s="5"/>
      <c r="C541" s="5"/>
      <c r="D541" s="5"/>
    </row>
    <row r="542" spans="1:4" ht="15.75" customHeight="1" x14ac:dyDescent="0.3">
      <c r="A542" s="5"/>
      <c r="B542" s="5"/>
      <c r="C542" s="5"/>
      <c r="D542" s="5"/>
    </row>
    <row r="543" spans="1:4" ht="15.75" customHeight="1" x14ac:dyDescent="0.3">
      <c r="A543" s="5"/>
      <c r="B543" s="5"/>
      <c r="C543" s="5"/>
      <c r="D543" s="5"/>
    </row>
    <row r="544" spans="1:4" ht="15.75" customHeight="1" x14ac:dyDescent="0.3">
      <c r="A544" s="5"/>
      <c r="B544" s="5"/>
      <c r="C544" s="5"/>
      <c r="D544" s="5"/>
    </row>
    <row r="545" spans="1:4" ht="15.75" customHeight="1" x14ac:dyDescent="0.3">
      <c r="A545" s="5"/>
      <c r="B545" s="5"/>
      <c r="C545" s="5"/>
      <c r="D545" s="5"/>
    </row>
    <row r="546" spans="1:4" ht="15.75" customHeight="1" x14ac:dyDescent="0.3">
      <c r="A546" s="5"/>
      <c r="B546" s="5"/>
      <c r="C546" s="5"/>
      <c r="D546" s="5"/>
    </row>
    <row r="547" spans="1:4" ht="15.75" customHeight="1" x14ac:dyDescent="0.3">
      <c r="A547" s="5"/>
      <c r="B547" s="5"/>
      <c r="C547" s="5"/>
      <c r="D547" s="5"/>
    </row>
    <row r="548" spans="1:4" ht="15.75" customHeight="1" x14ac:dyDescent="0.3">
      <c r="A548" s="5"/>
      <c r="B548" s="5"/>
      <c r="C548" s="5"/>
      <c r="D548" s="5"/>
    </row>
    <row r="549" spans="1:4" ht="15.75" customHeight="1" x14ac:dyDescent="0.3">
      <c r="A549" s="5"/>
      <c r="B549" s="5"/>
      <c r="C549" s="5"/>
      <c r="D549" s="5"/>
    </row>
    <row r="550" spans="1:4" ht="15.75" customHeight="1" x14ac:dyDescent="0.3">
      <c r="A550" s="5"/>
      <c r="B550" s="5"/>
      <c r="C550" s="5"/>
      <c r="D550" s="5"/>
    </row>
    <row r="551" spans="1:4" ht="15.75" customHeight="1" x14ac:dyDescent="0.3">
      <c r="A551" s="5"/>
      <c r="B551" s="5"/>
      <c r="C551" s="5"/>
      <c r="D551" s="5"/>
    </row>
    <row r="552" spans="1:4" ht="15.75" customHeight="1" x14ac:dyDescent="0.3">
      <c r="A552" s="5"/>
      <c r="B552" s="5"/>
      <c r="C552" s="5"/>
      <c r="D552" s="5"/>
    </row>
    <row r="553" spans="1:4" ht="15.75" customHeight="1" x14ac:dyDescent="0.3">
      <c r="A553" s="5"/>
      <c r="B553" s="5"/>
      <c r="C553" s="5"/>
      <c r="D553" s="5"/>
    </row>
    <row r="554" spans="1:4" ht="15.75" customHeight="1" x14ac:dyDescent="0.3">
      <c r="A554" s="5"/>
      <c r="B554" s="5"/>
      <c r="C554" s="5"/>
      <c r="D554" s="5"/>
    </row>
    <row r="555" spans="1:4" ht="15.75" customHeight="1" x14ac:dyDescent="0.3">
      <c r="A555" s="5"/>
      <c r="B555" s="5"/>
      <c r="C555" s="5"/>
      <c r="D555" s="5"/>
    </row>
    <row r="556" spans="1:4" ht="15.75" customHeight="1" x14ac:dyDescent="0.3">
      <c r="A556" s="5"/>
      <c r="B556" s="5"/>
      <c r="C556" s="5"/>
      <c r="D556" s="5"/>
    </row>
    <row r="557" spans="1:4" ht="15.75" customHeight="1" x14ac:dyDescent="0.3">
      <c r="A557" s="5"/>
      <c r="B557" s="5"/>
      <c r="C557" s="5"/>
      <c r="D557" s="5"/>
    </row>
    <row r="558" spans="1:4" ht="15.75" customHeight="1" x14ac:dyDescent="0.3">
      <c r="A558" s="5"/>
      <c r="B558" s="5"/>
      <c r="C558" s="5"/>
      <c r="D558" s="5"/>
    </row>
    <row r="559" spans="1:4" ht="15.75" customHeight="1" x14ac:dyDescent="0.3">
      <c r="A559" s="5"/>
      <c r="B559" s="5"/>
      <c r="C559" s="5"/>
      <c r="D559" s="5"/>
    </row>
    <row r="560" spans="1:4" ht="15.75" customHeight="1" x14ac:dyDescent="0.3">
      <c r="A560" s="5"/>
      <c r="B560" s="5"/>
      <c r="C560" s="5"/>
      <c r="D560" s="5"/>
    </row>
    <row r="561" spans="1:4" ht="15.75" customHeight="1" x14ac:dyDescent="0.3">
      <c r="A561" s="5"/>
      <c r="B561" s="5"/>
      <c r="C561" s="5"/>
      <c r="D561" s="5"/>
    </row>
    <row r="562" spans="1:4" ht="15.75" customHeight="1" x14ac:dyDescent="0.3">
      <c r="A562" s="5"/>
      <c r="B562" s="5"/>
      <c r="C562" s="5"/>
      <c r="D562" s="5"/>
    </row>
    <row r="563" spans="1:4" ht="15.75" customHeight="1" x14ac:dyDescent="0.3">
      <c r="A563" s="5"/>
      <c r="B563" s="5"/>
      <c r="C563" s="5"/>
      <c r="D563" s="5"/>
    </row>
    <row r="564" spans="1:4" ht="15.75" customHeight="1" x14ac:dyDescent="0.3">
      <c r="A564" s="5"/>
      <c r="B564" s="5"/>
      <c r="C564" s="5"/>
      <c r="D564" s="5"/>
    </row>
    <row r="565" spans="1:4" ht="15.75" customHeight="1" x14ac:dyDescent="0.3">
      <c r="A565" s="5"/>
      <c r="B565" s="5"/>
      <c r="C565" s="5"/>
      <c r="D565" s="5"/>
    </row>
    <row r="566" spans="1:4" ht="15.75" customHeight="1" x14ac:dyDescent="0.3">
      <c r="A566" s="5"/>
      <c r="B566" s="5"/>
      <c r="C566" s="5"/>
      <c r="D566" s="5"/>
    </row>
    <row r="567" spans="1:4" ht="15.75" customHeight="1" x14ac:dyDescent="0.3">
      <c r="A567" s="5"/>
      <c r="B567" s="5"/>
      <c r="C567" s="5"/>
      <c r="D567" s="5"/>
    </row>
    <row r="568" spans="1:4" ht="15.75" customHeight="1" x14ac:dyDescent="0.3">
      <c r="A568" s="5"/>
      <c r="B568" s="5"/>
      <c r="C568" s="5"/>
      <c r="D568" s="5"/>
    </row>
    <row r="569" spans="1:4" ht="15.75" customHeight="1" x14ac:dyDescent="0.3">
      <c r="A569" s="5"/>
      <c r="B569" s="5"/>
      <c r="C569" s="5"/>
      <c r="D569" s="5"/>
    </row>
    <row r="570" spans="1:4" ht="15.75" customHeight="1" x14ac:dyDescent="0.3">
      <c r="A570" s="5"/>
      <c r="B570" s="5"/>
      <c r="C570" s="5"/>
      <c r="D570" s="5"/>
    </row>
    <row r="571" spans="1:4" ht="15.75" customHeight="1" x14ac:dyDescent="0.3">
      <c r="A571" s="5"/>
      <c r="B571" s="5"/>
      <c r="C571" s="5"/>
      <c r="D571" s="5"/>
    </row>
    <row r="572" spans="1:4" ht="15.75" customHeight="1" x14ac:dyDescent="0.3">
      <c r="A572" s="5"/>
      <c r="B572" s="5"/>
      <c r="C572" s="5"/>
      <c r="D572" s="5"/>
    </row>
    <row r="573" spans="1:4" ht="15.75" customHeight="1" x14ac:dyDescent="0.3">
      <c r="A573" s="5"/>
      <c r="B573" s="5"/>
      <c r="C573" s="5"/>
      <c r="D573" s="5"/>
    </row>
    <row r="574" spans="1:4" ht="15.75" customHeight="1" x14ac:dyDescent="0.3">
      <c r="A574" s="5"/>
      <c r="B574" s="5"/>
      <c r="C574" s="5"/>
      <c r="D574" s="5"/>
    </row>
    <row r="575" spans="1:4" ht="15.75" customHeight="1" x14ac:dyDescent="0.3">
      <c r="A575" s="5"/>
      <c r="B575" s="5"/>
      <c r="C575" s="5"/>
      <c r="D575" s="5"/>
    </row>
    <row r="576" spans="1:4" ht="15.75" customHeight="1" x14ac:dyDescent="0.3">
      <c r="A576" s="5"/>
      <c r="B576" s="5"/>
      <c r="C576" s="5"/>
      <c r="D576" s="5"/>
    </row>
    <row r="577" spans="1:4" ht="15.75" customHeight="1" x14ac:dyDescent="0.3">
      <c r="A577" s="5"/>
      <c r="B577" s="5"/>
      <c r="C577" s="5"/>
      <c r="D577" s="5"/>
    </row>
    <row r="578" spans="1:4" ht="15.75" customHeight="1" x14ac:dyDescent="0.3">
      <c r="A578" s="5"/>
      <c r="B578" s="5"/>
      <c r="C578" s="5"/>
      <c r="D578" s="5"/>
    </row>
    <row r="579" spans="1:4" ht="15.75" customHeight="1" x14ac:dyDescent="0.3">
      <c r="A579" s="5"/>
      <c r="B579" s="5"/>
      <c r="C579" s="5"/>
      <c r="D579" s="5"/>
    </row>
    <row r="580" spans="1:4" ht="15.75" customHeight="1" x14ac:dyDescent="0.3">
      <c r="A580" s="5"/>
      <c r="B580" s="5"/>
      <c r="C580" s="5"/>
      <c r="D580" s="5"/>
    </row>
    <row r="581" spans="1:4" ht="15.75" customHeight="1" x14ac:dyDescent="0.3">
      <c r="A581" s="5"/>
      <c r="B581" s="5"/>
      <c r="C581" s="5"/>
      <c r="D581" s="5"/>
    </row>
    <row r="582" spans="1:4" ht="15.75" customHeight="1" x14ac:dyDescent="0.3">
      <c r="A582" s="5"/>
      <c r="B582" s="5"/>
      <c r="C582" s="5"/>
      <c r="D582" s="5"/>
    </row>
    <row r="583" spans="1:4" ht="15.75" customHeight="1" x14ac:dyDescent="0.3">
      <c r="A583" s="5"/>
      <c r="B583" s="5"/>
      <c r="C583" s="5"/>
      <c r="D583" s="5"/>
    </row>
    <row r="584" spans="1:4" ht="15.75" customHeight="1" x14ac:dyDescent="0.3">
      <c r="A584" s="5"/>
      <c r="B584" s="5"/>
      <c r="C584" s="5"/>
      <c r="D584" s="5"/>
    </row>
    <row r="585" spans="1:4" ht="15.75" customHeight="1" x14ac:dyDescent="0.3">
      <c r="A585" s="5"/>
      <c r="B585" s="5"/>
      <c r="C585" s="5"/>
      <c r="D585" s="5"/>
    </row>
    <row r="586" spans="1:4" ht="15.75" customHeight="1" x14ac:dyDescent="0.3">
      <c r="A586" s="5"/>
      <c r="B586" s="5"/>
      <c r="C586" s="5"/>
      <c r="D586" s="5"/>
    </row>
    <row r="587" spans="1:4" ht="15.75" customHeight="1" x14ac:dyDescent="0.3">
      <c r="A587" s="5"/>
      <c r="B587" s="5"/>
      <c r="C587" s="5"/>
      <c r="D587" s="5"/>
    </row>
    <row r="588" spans="1:4" ht="15.75" customHeight="1" x14ac:dyDescent="0.3">
      <c r="A588" s="5"/>
      <c r="B588" s="5"/>
      <c r="C588" s="5"/>
      <c r="D588" s="5"/>
    </row>
    <row r="589" spans="1:4" ht="15.75" customHeight="1" x14ac:dyDescent="0.3">
      <c r="A589" s="5"/>
      <c r="B589" s="5"/>
      <c r="C589" s="5"/>
      <c r="D589" s="5"/>
    </row>
    <row r="590" spans="1:4" ht="15.75" customHeight="1" x14ac:dyDescent="0.3">
      <c r="A590" s="5"/>
      <c r="B590" s="5"/>
      <c r="C590" s="5"/>
      <c r="D590" s="5"/>
    </row>
    <row r="591" spans="1:4" ht="15.75" customHeight="1" x14ac:dyDescent="0.3">
      <c r="A591" s="5"/>
      <c r="B591" s="5"/>
      <c r="C591" s="5"/>
      <c r="D591" s="5"/>
    </row>
    <row r="592" spans="1:4" ht="15.75" customHeight="1" x14ac:dyDescent="0.3">
      <c r="A592" s="5"/>
      <c r="B592" s="5"/>
      <c r="C592" s="5"/>
      <c r="D592" s="5"/>
    </row>
    <row r="593" spans="1:4" ht="15.75" customHeight="1" x14ac:dyDescent="0.3">
      <c r="A593" s="5"/>
      <c r="B593" s="5"/>
      <c r="C593" s="5"/>
      <c r="D593" s="5"/>
    </row>
    <row r="594" spans="1:4" ht="15.75" customHeight="1" x14ac:dyDescent="0.3">
      <c r="A594" s="5"/>
      <c r="B594" s="5"/>
      <c r="C594" s="5"/>
      <c r="D594" s="5"/>
    </row>
    <row r="595" spans="1:4" ht="15.75" customHeight="1" x14ac:dyDescent="0.3">
      <c r="A595" s="5"/>
      <c r="B595" s="5"/>
      <c r="C595" s="5"/>
      <c r="D595" s="5"/>
    </row>
    <row r="596" spans="1:4" ht="15.75" customHeight="1" x14ac:dyDescent="0.3">
      <c r="A596" s="5"/>
      <c r="B596" s="5"/>
      <c r="C596" s="5"/>
      <c r="D596" s="5"/>
    </row>
    <row r="597" spans="1:4" ht="15.75" customHeight="1" x14ac:dyDescent="0.3">
      <c r="A597" s="5"/>
      <c r="B597" s="5"/>
      <c r="C597" s="5"/>
      <c r="D597" s="5"/>
    </row>
    <row r="598" spans="1:4" ht="15.75" customHeight="1" x14ac:dyDescent="0.3">
      <c r="A598" s="5"/>
      <c r="B598" s="5"/>
      <c r="C598" s="5"/>
      <c r="D598" s="5"/>
    </row>
    <row r="599" spans="1:4" ht="15.75" customHeight="1" x14ac:dyDescent="0.3">
      <c r="A599" s="5"/>
      <c r="B599" s="5"/>
      <c r="C599" s="5"/>
      <c r="D599" s="5"/>
    </row>
    <row r="600" spans="1:4" ht="15.75" customHeight="1" x14ac:dyDescent="0.3">
      <c r="A600" s="5"/>
      <c r="B600" s="5"/>
      <c r="C600" s="5"/>
      <c r="D600" s="5"/>
    </row>
    <row r="601" spans="1:4" ht="15.75" customHeight="1" x14ac:dyDescent="0.3">
      <c r="A601" s="5"/>
      <c r="B601" s="5"/>
      <c r="C601" s="5"/>
      <c r="D601" s="5"/>
    </row>
    <row r="602" spans="1:4" ht="15.75" customHeight="1" x14ac:dyDescent="0.3">
      <c r="A602" s="5"/>
      <c r="B602" s="5"/>
      <c r="C602" s="5"/>
      <c r="D602" s="5"/>
    </row>
    <row r="603" spans="1:4" ht="15.75" customHeight="1" x14ac:dyDescent="0.3">
      <c r="A603" s="5"/>
      <c r="B603" s="5"/>
      <c r="C603" s="5"/>
      <c r="D603" s="5"/>
    </row>
    <row r="604" spans="1:4" ht="15.75" customHeight="1" x14ac:dyDescent="0.3">
      <c r="A604" s="5"/>
      <c r="B604" s="5"/>
      <c r="C604" s="5"/>
      <c r="D604" s="5"/>
    </row>
    <row r="605" spans="1:4" ht="15.75" customHeight="1" x14ac:dyDescent="0.3">
      <c r="A605" s="5"/>
      <c r="B605" s="5"/>
      <c r="C605" s="5"/>
      <c r="D605" s="5"/>
    </row>
    <row r="606" spans="1:4" ht="15.75" customHeight="1" x14ac:dyDescent="0.3">
      <c r="A606" s="5"/>
      <c r="B606" s="5"/>
      <c r="C606" s="5"/>
      <c r="D606" s="5"/>
    </row>
    <row r="607" spans="1:4" ht="15.75" customHeight="1" x14ac:dyDescent="0.3">
      <c r="A607" s="5"/>
      <c r="B607" s="5"/>
      <c r="C607" s="5"/>
      <c r="D607" s="5"/>
    </row>
    <row r="608" spans="1:4" ht="15.75" customHeight="1" x14ac:dyDescent="0.3">
      <c r="A608" s="5"/>
      <c r="B608" s="5"/>
      <c r="C608" s="5"/>
      <c r="D608" s="5"/>
    </row>
    <row r="609" spans="1:4" ht="15.75" customHeight="1" x14ac:dyDescent="0.3">
      <c r="A609" s="5"/>
      <c r="B609" s="5"/>
      <c r="C609" s="5"/>
      <c r="D609" s="5"/>
    </row>
    <row r="610" spans="1:4" ht="15.75" customHeight="1" x14ac:dyDescent="0.3">
      <c r="A610" s="5"/>
      <c r="B610" s="5"/>
      <c r="C610" s="5"/>
      <c r="D610" s="5"/>
    </row>
    <row r="611" spans="1:4" ht="15.75" customHeight="1" x14ac:dyDescent="0.3">
      <c r="A611" s="5"/>
      <c r="B611" s="5"/>
      <c r="C611" s="5"/>
      <c r="D611" s="5"/>
    </row>
    <row r="612" spans="1:4" ht="15.75" customHeight="1" x14ac:dyDescent="0.3">
      <c r="A612" s="5"/>
      <c r="B612" s="5"/>
      <c r="C612" s="5"/>
      <c r="D612" s="5"/>
    </row>
    <row r="613" spans="1:4" ht="15.75" customHeight="1" x14ac:dyDescent="0.3">
      <c r="A613" s="5"/>
      <c r="B613" s="5"/>
      <c r="C613" s="5"/>
      <c r="D613" s="5"/>
    </row>
    <row r="614" spans="1:4" ht="15.75" customHeight="1" x14ac:dyDescent="0.3">
      <c r="A614" s="5"/>
      <c r="B614" s="5"/>
      <c r="C614" s="5"/>
      <c r="D614" s="5"/>
    </row>
    <row r="615" spans="1:4" ht="15.75" customHeight="1" x14ac:dyDescent="0.3">
      <c r="A615" s="5"/>
      <c r="B615" s="5"/>
      <c r="C615" s="5"/>
      <c r="D615" s="5"/>
    </row>
    <row r="616" spans="1:4" ht="15.75" customHeight="1" x14ac:dyDescent="0.3">
      <c r="A616" s="5"/>
      <c r="B616" s="5"/>
      <c r="C616" s="5"/>
      <c r="D616" s="5"/>
    </row>
    <row r="617" spans="1:4" ht="15.75" customHeight="1" x14ac:dyDescent="0.3">
      <c r="A617" s="5"/>
      <c r="B617" s="5"/>
      <c r="C617" s="5"/>
      <c r="D617" s="5"/>
    </row>
    <row r="618" spans="1:4" ht="15.75" customHeight="1" x14ac:dyDescent="0.3">
      <c r="A618" s="5"/>
      <c r="B618" s="5"/>
      <c r="C618" s="5"/>
      <c r="D618" s="5"/>
    </row>
    <row r="619" spans="1:4" ht="15.75" customHeight="1" x14ac:dyDescent="0.3">
      <c r="A619" s="5"/>
      <c r="B619" s="5"/>
      <c r="C619" s="5"/>
      <c r="D619" s="5"/>
    </row>
    <row r="620" spans="1:4" ht="15.75" customHeight="1" x14ac:dyDescent="0.3">
      <c r="A620" s="5"/>
      <c r="B620" s="5"/>
      <c r="C620" s="5"/>
      <c r="D620" s="5"/>
    </row>
    <row r="621" spans="1:4" ht="15.75" customHeight="1" x14ac:dyDescent="0.3">
      <c r="A621" s="5"/>
      <c r="B621" s="5"/>
      <c r="C621" s="5"/>
      <c r="D621" s="5"/>
    </row>
    <row r="622" spans="1:4" ht="15.75" customHeight="1" x14ac:dyDescent="0.3">
      <c r="A622" s="5"/>
      <c r="B622" s="5"/>
      <c r="C622" s="5"/>
      <c r="D622" s="5"/>
    </row>
    <row r="623" spans="1:4" ht="15.75" customHeight="1" x14ac:dyDescent="0.3">
      <c r="A623" s="5"/>
      <c r="B623" s="5"/>
      <c r="C623" s="5"/>
      <c r="D623" s="5"/>
    </row>
    <row r="624" spans="1:4" ht="15.75" customHeight="1" x14ac:dyDescent="0.3">
      <c r="A624" s="5"/>
      <c r="B624" s="5"/>
      <c r="C624" s="5"/>
      <c r="D624" s="5"/>
    </row>
    <row r="625" spans="1:4" ht="15.75" customHeight="1" x14ac:dyDescent="0.3">
      <c r="A625" s="5"/>
      <c r="B625" s="5"/>
      <c r="C625" s="5"/>
      <c r="D625" s="5"/>
    </row>
    <row r="626" spans="1:4" ht="15.75" customHeight="1" x14ac:dyDescent="0.3">
      <c r="A626" s="5"/>
      <c r="B626" s="5"/>
      <c r="C626" s="5"/>
      <c r="D626" s="5"/>
    </row>
    <row r="627" spans="1:4" ht="15.75" customHeight="1" x14ac:dyDescent="0.3">
      <c r="A627" s="5"/>
      <c r="B627" s="5"/>
      <c r="C627" s="5"/>
      <c r="D627" s="5"/>
    </row>
    <row r="628" spans="1:4" ht="15.75" customHeight="1" x14ac:dyDescent="0.3">
      <c r="A628" s="5"/>
      <c r="B628" s="5"/>
      <c r="C628" s="5"/>
      <c r="D628" s="5"/>
    </row>
    <row r="629" spans="1:4" ht="15.75" customHeight="1" x14ac:dyDescent="0.3">
      <c r="A629" s="5"/>
      <c r="B629" s="5"/>
      <c r="C629" s="5"/>
      <c r="D629" s="5"/>
    </row>
    <row r="630" spans="1:4" ht="15.75" customHeight="1" x14ac:dyDescent="0.3">
      <c r="A630" s="5"/>
      <c r="B630" s="5"/>
      <c r="C630" s="5"/>
      <c r="D630" s="5"/>
    </row>
    <row r="631" spans="1:4" ht="15.75" customHeight="1" x14ac:dyDescent="0.3">
      <c r="A631" s="5"/>
      <c r="B631" s="5"/>
      <c r="C631" s="5"/>
      <c r="D631" s="5"/>
    </row>
    <row r="632" spans="1:4" ht="15.75" customHeight="1" x14ac:dyDescent="0.3">
      <c r="A632" s="5"/>
      <c r="B632" s="5"/>
      <c r="C632" s="5"/>
      <c r="D632" s="5"/>
    </row>
    <row r="633" spans="1:4" ht="15.75" customHeight="1" x14ac:dyDescent="0.3">
      <c r="A633" s="5"/>
      <c r="B633" s="5"/>
      <c r="C633" s="5"/>
      <c r="D633" s="5"/>
    </row>
    <row r="634" spans="1:4" ht="15.75" customHeight="1" x14ac:dyDescent="0.3">
      <c r="A634" s="5"/>
      <c r="B634" s="5"/>
      <c r="C634" s="5"/>
      <c r="D634" s="5"/>
    </row>
    <row r="635" spans="1:4" ht="15.75" customHeight="1" x14ac:dyDescent="0.3">
      <c r="A635" s="5"/>
      <c r="B635" s="5"/>
      <c r="C635" s="5"/>
      <c r="D635" s="5"/>
    </row>
    <row r="636" spans="1:4" ht="15.75" customHeight="1" x14ac:dyDescent="0.3">
      <c r="A636" s="5"/>
      <c r="B636" s="5"/>
      <c r="C636" s="5"/>
      <c r="D636" s="5"/>
    </row>
    <row r="637" spans="1:4" ht="15.75" customHeight="1" x14ac:dyDescent="0.3">
      <c r="A637" s="5"/>
      <c r="B637" s="5"/>
      <c r="C637" s="5"/>
      <c r="D637" s="5"/>
    </row>
    <row r="638" spans="1:4" ht="15.75" customHeight="1" x14ac:dyDescent="0.3">
      <c r="A638" s="5"/>
      <c r="B638" s="5"/>
      <c r="C638" s="5"/>
      <c r="D638" s="5"/>
    </row>
    <row r="639" spans="1:4" ht="15.75" customHeight="1" x14ac:dyDescent="0.3">
      <c r="A639" s="5"/>
      <c r="B639" s="5"/>
      <c r="C639" s="5"/>
      <c r="D639" s="5"/>
    </row>
    <row r="640" spans="1:4" ht="15.75" customHeight="1" x14ac:dyDescent="0.3">
      <c r="A640" s="5"/>
      <c r="B640" s="5"/>
      <c r="C640" s="5"/>
      <c r="D640" s="5"/>
    </row>
    <row r="641" spans="1:4" ht="15.75" customHeight="1" x14ac:dyDescent="0.3">
      <c r="A641" s="5"/>
      <c r="B641" s="5"/>
      <c r="C641" s="5"/>
      <c r="D641" s="5"/>
    </row>
    <row r="642" spans="1:4" ht="15.75" customHeight="1" x14ac:dyDescent="0.3">
      <c r="A642" s="5"/>
      <c r="B642" s="5"/>
      <c r="C642" s="5"/>
      <c r="D642" s="5"/>
    </row>
    <row r="643" spans="1:4" ht="15.75" customHeight="1" x14ac:dyDescent="0.3">
      <c r="A643" s="5"/>
      <c r="B643" s="5"/>
      <c r="C643" s="5"/>
      <c r="D643" s="5"/>
    </row>
    <row r="644" spans="1:4" ht="15.75" customHeight="1" x14ac:dyDescent="0.3">
      <c r="A644" s="5"/>
      <c r="B644" s="5"/>
      <c r="C644" s="5"/>
      <c r="D644" s="5"/>
    </row>
    <row r="645" spans="1:4" ht="15.75" customHeight="1" x14ac:dyDescent="0.3">
      <c r="A645" s="5"/>
      <c r="B645" s="5"/>
      <c r="C645" s="5"/>
      <c r="D645" s="5"/>
    </row>
    <row r="646" spans="1:4" ht="15.75" customHeight="1" x14ac:dyDescent="0.3">
      <c r="A646" s="5"/>
      <c r="B646" s="5"/>
      <c r="C646" s="5"/>
      <c r="D646" s="5"/>
    </row>
    <row r="647" spans="1:4" ht="15.75" customHeight="1" x14ac:dyDescent="0.3">
      <c r="A647" s="5"/>
      <c r="B647" s="5"/>
      <c r="C647" s="5"/>
      <c r="D647" s="5"/>
    </row>
    <row r="648" spans="1:4" ht="15.75" customHeight="1" x14ac:dyDescent="0.3">
      <c r="A648" s="5"/>
      <c r="B648" s="5"/>
      <c r="C648" s="5"/>
      <c r="D648" s="5"/>
    </row>
    <row r="649" spans="1:4" ht="15.75" customHeight="1" x14ac:dyDescent="0.3">
      <c r="A649" s="5"/>
      <c r="B649" s="5"/>
      <c r="C649" s="5"/>
      <c r="D649" s="5"/>
    </row>
    <row r="650" spans="1:4" ht="15.75" customHeight="1" x14ac:dyDescent="0.3">
      <c r="A650" s="5"/>
      <c r="B650" s="5"/>
      <c r="C650" s="5"/>
      <c r="D650" s="5"/>
    </row>
    <row r="651" spans="1:4" ht="15.75" customHeight="1" x14ac:dyDescent="0.3">
      <c r="A651" s="5"/>
      <c r="B651" s="5"/>
      <c r="C651" s="5"/>
      <c r="D651" s="5"/>
    </row>
    <row r="652" spans="1:4" ht="15.75" customHeight="1" x14ac:dyDescent="0.3">
      <c r="A652" s="5"/>
      <c r="B652" s="5"/>
      <c r="C652" s="5"/>
      <c r="D652" s="5"/>
    </row>
    <row r="653" spans="1:4" ht="15.75" customHeight="1" x14ac:dyDescent="0.3">
      <c r="A653" s="5"/>
      <c r="B653" s="5"/>
      <c r="C653" s="5"/>
      <c r="D653" s="5"/>
    </row>
    <row r="654" spans="1:4" ht="15.75" customHeight="1" x14ac:dyDescent="0.3">
      <c r="A654" s="5"/>
      <c r="B654" s="5"/>
      <c r="C654" s="5"/>
      <c r="D654" s="5"/>
    </row>
    <row r="655" spans="1:4" ht="15.75" customHeight="1" x14ac:dyDescent="0.3">
      <c r="A655" s="5"/>
      <c r="B655" s="5"/>
      <c r="C655" s="5"/>
      <c r="D655" s="5"/>
    </row>
    <row r="656" spans="1:4" ht="15.75" customHeight="1" x14ac:dyDescent="0.3">
      <c r="A656" s="5"/>
      <c r="B656" s="5"/>
      <c r="C656" s="5"/>
      <c r="D656" s="5"/>
    </row>
    <row r="657" spans="1:4" ht="15.75" customHeight="1" x14ac:dyDescent="0.3">
      <c r="A657" s="5"/>
      <c r="B657" s="5"/>
      <c r="C657" s="5"/>
      <c r="D657" s="5"/>
    </row>
    <row r="658" spans="1:4" ht="15.75" customHeight="1" x14ac:dyDescent="0.3">
      <c r="A658" s="5"/>
      <c r="B658" s="5"/>
      <c r="C658" s="5"/>
      <c r="D658" s="5"/>
    </row>
    <row r="659" spans="1:4" ht="15.75" customHeight="1" x14ac:dyDescent="0.3">
      <c r="A659" s="5"/>
      <c r="B659" s="5"/>
      <c r="C659" s="5"/>
      <c r="D659" s="5"/>
    </row>
    <row r="660" spans="1:4" ht="15.75" customHeight="1" x14ac:dyDescent="0.3">
      <c r="A660" s="5"/>
      <c r="B660" s="5"/>
      <c r="C660" s="5"/>
      <c r="D660" s="5"/>
    </row>
    <row r="661" spans="1:4" ht="15.75" customHeight="1" x14ac:dyDescent="0.3">
      <c r="A661" s="5"/>
      <c r="B661" s="5"/>
      <c r="C661" s="5"/>
      <c r="D661" s="5"/>
    </row>
    <row r="662" spans="1:4" ht="15.75" customHeight="1" x14ac:dyDescent="0.3">
      <c r="A662" s="5"/>
      <c r="B662" s="5"/>
      <c r="C662" s="5"/>
      <c r="D662" s="5"/>
    </row>
    <row r="663" spans="1:4" ht="15.75" customHeight="1" x14ac:dyDescent="0.3">
      <c r="A663" s="5"/>
      <c r="B663" s="5"/>
      <c r="C663" s="5"/>
      <c r="D663" s="5"/>
    </row>
    <row r="664" spans="1:4" ht="15.75" customHeight="1" x14ac:dyDescent="0.3">
      <c r="A664" s="5"/>
      <c r="B664" s="5"/>
      <c r="C664" s="5"/>
      <c r="D664" s="5"/>
    </row>
    <row r="665" spans="1:4" ht="15.75" customHeight="1" x14ac:dyDescent="0.3">
      <c r="A665" s="5"/>
      <c r="B665" s="5"/>
      <c r="C665" s="5"/>
      <c r="D665" s="5"/>
    </row>
    <row r="666" spans="1:4" ht="15.75" customHeight="1" x14ac:dyDescent="0.3">
      <c r="A666" s="5"/>
      <c r="B666" s="5"/>
      <c r="C666" s="5"/>
      <c r="D666" s="5"/>
    </row>
    <row r="667" spans="1:4" ht="15.75" customHeight="1" x14ac:dyDescent="0.3">
      <c r="A667" s="5"/>
      <c r="B667" s="5"/>
      <c r="C667" s="5"/>
      <c r="D667" s="5"/>
    </row>
    <row r="668" spans="1:4" ht="15.75" customHeight="1" x14ac:dyDescent="0.3">
      <c r="A668" s="5"/>
      <c r="B668" s="5"/>
      <c r="C668" s="5"/>
      <c r="D668" s="5"/>
    </row>
    <row r="669" spans="1:4" ht="15.75" customHeight="1" x14ac:dyDescent="0.3">
      <c r="A669" s="5"/>
      <c r="B669" s="5"/>
      <c r="C669" s="5"/>
      <c r="D669" s="5"/>
    </row>
    <row r="670" spans="1:4" ht="15.75" customHeight="1" x14ac:dyDescent="0.3">
      <c r="A670" s="5"/>
      <c r="B670" s="5"/>
      <c r="C670" s="5"/>
      <c r="D670" s="5"/>
    </row>
    <row r="671" spans="1:4" ht="15.75" customHeight="1" x14ac:dyDescent="0.3">
      <c r="A671" s="5"/>
      <c r="B671" s="5"/>
      <c r="C671" s="5"/>
      <c r="D671" s="5"/>
    </row>
    <row r="672" spans="1:4" ht="15.75" customHeight="1" x14ac:dyDescent="0.3">
      <c r="A672" s="5"/>
      <c r="B672" s="5"/>
      <c r="C672" s="5"/>
      <c r="D672" s="5"/>
    </row>
    <row r="673" spans="1:4" ht="15.75" customHeight="1" x14ac:dyDescent="0.3">
      <c r="A673" s="5"/>
      <c r="B673" s="5"/>
      <c r="C673" s="5"/>
      <c r="D673" s="5"/>
    </row>
    <row r="674" spans="1:4" ht="15.75" customHeight="1" x14ac:dyDescent="0.3">
      <c r="A674" s="5"/>
      <c r="B674" s="5"/>
      <c r="C674" s="5"/>
      <c r="D674" s="5"/>
    </row>
    <row r="675" spans="1:4" ht="15.75" customHeight="1" x14ac:dyDescent="0.3">
      <c r="A675" s="5"/>
      <c r="B675" s="5"/>
      <c r="C675" s="5"/>
      <c r="D675" s="5"/>
    </row>
    <row r="676" spans="1:4" ht="15.75" customHeight="1" x14ac:dyDescent="0.3">
      <c r="A676" s="5"/>
      <c r="B676" s="5"/>
      <c r="C676" s="5"/>
      <c r="D676" s="5"/>
    </row>
    <row r="677" spans="1:4" ht="15.75" customHeight="1" x14ac:dyDescent="0.3">
      <c r="A677" s="5"/>
      <c r="B677" s="5"/>
      <c r="C677" s="5"/>
      <c r="D677" s="5"/>
    </row>
    <row r="678" spans="1:4" ht="15.75" customHeight="1" x14ac:dyDescent="0.3">
      <c r="A678" s="5"/>
      <c r="B678" s="5"/>
      <c r="C678" s="5"/>
      <c r="D678" s="5"/>
    </row>
    <row r="679" spans="1:4" ht="15.75" customHeight="1" x14ac:dyDescent="0.3">
      <c r="A679" s="5"/>
      <c r="B679" s="5"/>
      <c r="C679" s="5"/>
      <c r="D679" s="5"/>
    </row>
    <row r="680" spans="1:4" ht="15.75" customHeight="1" x14ac:dyDescent="0.3">
      <c r="A680" s="5"/>
      <c r="B680" s="5"/>
      <c r="C680" s="5"/>
      <c r="D680" s="5"/>
    </row>
    <row r="681" spans="1:4" ht="15.75" customHeight="1" x14ac:dyDescent="0.3">
      <c r="A681" s="5"/>
      <c r="B681" s="5"/>
      <c r="C681" s="5"/>
      <c r="D681" s="5"/>
    </row>
    <row r="682" spans="1:4" ht="15.75" customHeight="1" x14ac:dyDescent="0.3">
      <c r="A682" s="5"/>
      <c r="B682" s="5"/>
      <c r="C682" s="5"/>
      <c r="D682" s="5"/>
    </row>
    <row r="683" spans="1:4" ht="15.75" customHeight="1" x14ac:dyDescent="0.3">
      <c r="A683" s="5"/>
      <c r="B683" s="5"/>
      <c r="C683" s="5"/>
      <c r="D683" s="5"/>
    </row>
    <row r="684" spans="1:4" ht="15.75" customHeight="1" x14ac:dyDescent="0.3">
      <c r="A684" s="5"/>
      <c r="B684" s="5"/>
      <c r="C684" s="5"/>
      <c r="D684" s="5"/>
    </row>
    <row r="685" spans="1:4" ht="15.75" customHeight="1" x14ac:dyDescent="0.3">
      <c r="A685" s="5"/>
      <c r="B685" s="5"/>
      <c r="C685" s="5"/>
      <c r="D685" s="5"/>
    </row>
    <row r="686" spans="1:4" ht="15.75" customHeight="1" x14ac:dyDescent="0.3">
      <c r="A686" s="5"/>
      <c r="B686" s="5"/>
      <c r="C686" s="5"/>
      <c r="D686" s="5"/>
    </row>
    <row r="687" spans="1:4" ht="15.75" customHeight="1" x14ac:dyDescent="0.3">
      <c r="A687" s="5"/>
      <c r="B687" s="5"/>
      <c r="C687" s="5"/>
      <c r="D687" s="5"/>
    </row>
    <row r="688" spans="1:4" ht="15.75" customHeight="1" x14ac:dyDescent="0.3">
      <c r="A688" s="5"/>
      <c r="B688" s="5"/>
      <c r="C688" s="5"/>
      <c r="D688" s="5"/>
    </row>
    <row r="689" spans="1:4" ht="15.75" customHeight="1" x14ac:dyDescent="0.3">
      <c r="A689" s="5"/>
      <c r="B689" s="5"/>
      <c r="C689" s="5"/>
      <c r="D689" s="5"/>
    </row>
    <row r="690" spans="1:4" ht="15.75" customHeight="1" x14ac:dyDescent="0.3">
      <c r="A690" s="5"/>
      <c r="B690" s="5"/>
      <c r="C690" s="5"/>
      <c r="D690" s="5"/>
    </row>
    <row r="691" spans="1:4" ht="15.75" customHeight="1" x14ac:dyDescent="0.3">
      <c r="A691" s="5"/>
      <c r="B691" s="5"/>
      <c r="C691" s="5"/>
      <c r="D691" s="5"/>
    </row>
    <row r="692" spans="1:4" ht="15.75" customHeight="1" x14ac:dyDescent="0.3">
      <c r="A692" s="5"/>
      <c r="B692" s="5"/>
      <c r="C692" s="5"/>
      <c r="D692" s="5"/>
    </row>
    <row r="693" spans="1:4" ht="15.75" customHeight="1" x14ac:dyDescent="0.3">
      <c r="A693" s="5"/>
      <c r="B693" s="5"/>
      <c r="C693" s="5"/>
      <c r="D693" s="5"/>
    </row>
    <row r="694" spans="1:4" ht="15.75" customHeight="1" x14ac:dyDescent="0.3">
      <c r="A694" s="5"/>
      <c r="B694" s="5"/>
      <c r="C694" s="5"/>
      <c r="D694" s="5"/>
    </row>
    <row r="695" spans="1:4" ht="15.75" customHeight="1" x14ac:dyDescent="0.3">
      <c r="A695" s="5"/>
      <c r="B695" s="5"/>
      <c r="C695" s="5"/>
      <c r="D695" s="5"/>
    </row>
    <row r="696" spans="1:4" ht="15.75" customHeight="1" x14ac:dyDescent="0.3">
      <c r="A696" s="5"/>
      <c r="B696" s="5"/>
      <c r="C696" s="5"/>
      <c r="D696" s="5"/>
    </row>
    <row r="697" spans="1:4" ht="15.75" customHeight="1" x14ac:dyDescent="0.3">
      <c r="A697" s="5"/>
      <c r="B697" s="5"/>
      <c r="C697" s="5"/>
      <c r="D697" s="5"/>
    </row>
    <row r="698" spans="1:4" ht="15.75" customHeight="1" x14ac:dyDescent="0.3">
      <c r="A698" s="5"/>
      <c r="B698" s="5"/>
      <c r="C698" s="5"/>
      <c r="D698" s="5"/>
    </row>
    <row r="699" spans="1:4" ht="15.75" customHeight="1" x14ac:dyDescent="0.3">
      <c r="A699" s="5"/>
      <c r="B699" s="5"/>
      <c r="C699" s="5"/>
      <c r="D699" s="5"/>
    </row>
    <row r="700" spans="1:4" ht="15.75" customHeight="1" x14ac:dyDescent="0.3">
      <c r="A700" s="5"/>
      <c r="B700" s="5"/>
      <c r="C700" s="5"/>
      <c r="D700" s="5"/>
    </row>
    <row r="701" spans="1:4" ht="15.75" customHeight="1" x14ac:dyDescent="0.3">
      <c r="A701" s="5"/>
      <c r="B701" s="5"/>
      <c r="C701" s="5"/>
      <c r="D701" s="5"/>
    </row>
    <row r="702" spans="1:4" ht="15.75" customHeight="1" x14ac:dyDescent="0.3">
      <c r="A702" s="5"/>
      <c r="B702" s="5"/>
      <c r="C702" s="5"/>
      <c r="D702" s="5"/>
    </row>
    <row r="703" spans="1:4" ht="15.75" customHeight="1" x14ac:dyDescent="0.3">
      <c r="A703" s="5"/>
      <c r="B703" s="5"/>
      <c r="C703" s="5"/>
      <c r="D703" s="5"/>
    </row>
    <row r="704" spans="1:4" ht="15.75" customHeight="1" x14ac:dyDescent="0.3">
      <c r="A704" s="5"/>
      <c r="B704" s="5"/>
      <c r="C704" s="5"/>
      <c r="D704" s="5"/>
    </row>
    <row r="705" spans="1:4" ht="15.75" customHeight="1" x14ac:dyDescent="0.3">
      <c r="A705" s="5"/>
      <c r="B705" s="5"/>
      <c r="C705" s="5"/>
      <c r="D705" s="5"/>
    </row>
    <row r="706" spans="1:4" ht="15.75" customHeight="1" x14ac:dyDescent="0.3">
      <c r="A706" s="5"/>
      <c r="B706" s="5"/>
      <c r="C706" s="5"/>
      <c r="D706" s="5"/>
    </row>
    <row r="707" spans="1:4" ht="15.75" customHeight="1" x14ac:dyDescent="0.3">
      <c r="A707" s="5"/>
      <c r="B707" s="5"/>
      <c r="C707" s="5"/>
      <c r="D707" s="5"/>
    </row>
    <row r="708" spans="1:4" ht="15.75" customHeight="1" x14ac:dyDescent="0.3">
      <c r="A708" s="5"/>
      <c r="B708" s="5"/>
      <c r="C708" s="5"/>
      <c r="D708" s="5"/>
    </row>
    <row r="709" spans="1:4" ht="15.75" customHeight="1" x14ac:dyDescent="0.3">
      <c r="A709" s="5"/>
      <c r="B709" s="5"/>
      <c r="C709" s="5"/>
      <c r="D709" s="5"/>
    </row>
    <row r="710" spans="1:4" ht="15.75" customHeight="1" x14ac:dyDescent="0.3">
      <c r="A710" s="5"/>
      <c r="B710" s="5"/>
      <c r="C710" s="5"/>
      <c r="D710" s="5"/>
    </row>
    <row r="711" spans="1:4" ht="15.75" customHeight="1" x14ac:dyDescent="0.3">
      <c r="A711" s="5"/>
      <c r="B711" s="5"/>
      <c r="C711" s="5"/>
      <c r="D711" s="5"/>
    </row>
    <row r="712" spans="1:4" ht="15.75" customHeight="1" x14ac:dyDescent="0.3">
      <c r="A712" s="5"/>
      <c r="B712" s="5"/>
      <c r="C712" s="5"/>
      <c r="D712" s="5"/>
    </row>
    <row r="713" spans="1:4" ht="15.75" customHeight="1" x14ac:dyDescent="0.3">
      <c r="A713" s="5"/>
      <c r="B713" s="5"/>
      <c r="C713" s="5"/>
      <c r="D713" s="5"/>
    </row>
    <row r="714" spans="1:4" ht="15.75" customHeight="1" x14ac:dyDescent="0.3">
      <c r="A714" s="5"/>
      <c r="B714" s="5"/>
      <c r="C714" s="5"/>
      <c r="D714" s="5"/>
    </row>
    <row r="715" spans="1:4" ht="15.75" customHeight="1" x14ac:dyDescent="0.3">
      <c r="A715" s="5"/>
      <c r="B715" s="5"/>
      <c r="C715" s="5"/>
      <c r="D715" s="5"/>
    </row>
    <row r="716" spans="1:4" ht="15.75" customHeight="1" x14ac:dyDescent="0.3">
      <c r="A716" s="5"/>
      <c r="B716" s="5"/>
      <c r="C716" s="5"/>
      <c r="D716" s="5"/>
    </row>
    <row r="717" spans="1:4" ht="15.75" customHeight="1" x14ac:dyDescent="0.3">
      <c r="A717" s="5"/>
      <c r="B717" s="5"/>
      <c r="C717" s="5"/>
      <c r="D717" s="5"/>
    </row>
    <row r="718" spans="1:4" ht="15.75" customHeight="1" x14ac:dyDescent="0.3">
      <c r="A718" s="5"/>
      <c r="B718" s="5"/>
      <c r="C718" s="5"/>
      <c r="D718" s="5"/>
    </row>
    <row r="719" spans="1:4" ht="15.75" customHeight="1" x14ac:dyDescent="0.3">
      <c r="A719" s="5"/>
      <c r="B719" s="5"/>
      <c r="C719" s="5"/>
      <c r="D719" s="5"/>
    </row>
    <row r="720" spans="1:4" ht="15.75" customHeight="1" x14ac:dyDescent="0.3">
      <c r="A720" s="5"/>
      <c r="B720" s="5"/>
      <c r="C720" s="5"/>
      <c r="D720" s="5"/>
    </row>
    <row r="721" spans="1:4" ht="15.75" customHeight="1" x14ac:dyDescent="0.3">
      <c r="A721" s="5"/>
      <c r="B721" s="5"/>
      <c r="C721" s="5"/>
      <c r="D721" s="5"/>
    </row>
    <row r="722" spans="1:4" ht="15.75" customHeight="1" x14ac:dyDescent="0.3">
      <c r="A722" s="5"/>
      <c r="B722" s="5"/>
      <c r="C722" s="5"/>
      <c r="D722" s="5"/>
    </row>
    <row r="723" spans="1:4" ht="15.75" customHeight="1" x14ac:dyDescent="0.3">
      <c r="A723" s="5"/>
      <c r="B723" s="5"/>
      <c r="C723" s="5"/>
      <c r="D723" s="5"/>
    </row>
    <row r="724" spans="1:4" ht="15.75" customHeight="1" x14ac:dyDescent="0.3">
      <c r="A724" s="5"/>
      <c r="B724" s="5"/>
      <c r="C724" s="5"/>
      <c r="D724" s="5"/>
    </row>
    <row r="725" spans="1:4" ht="15.75" customHeight="1" x14ac:dyDescent="0.3">
      <c r="A725" s="5"/>
      <c r="B725" s="5"/>
      <c r="C725" s="5"/>
      <c r="D725" s="5"/>
    </row>
    <row r="726" spans="1:4" ht="15.75" customHeight="1" x14ac:dyDescent="0.3">
      <c r="A726" s="5"/>
      <c r="B726" s="5"/>
      <c r="C726" s="5"/>
      <c r="D726" s="5"/>
    </row>
    <row r="727" spans="1:4" ht="15.75" customHeight="1" x14ac:dyDescent="0.3">
      <c r="A727" s="5"/>
      <c r="B727" s="5"/>
      <c r="C727" s="5"/>
      <c r="D727" s="5"/>
    </row>
    <row r="728" spans="1:4" ht="15.75" customHeight="1" x14ac:dyDescent="0.3">
      <c r="A728" s="5"/>
      <c r="B728" s="5"/>
      <c r="C728" s="5"/>
      <c r="D728" s="5"/>
    </row>
    <row r="729" spans="1:4" ht="15.75" customHeight="1" x14ac:dyDescent="0.3">
      <c r="A729" s="5"/>
      <c r="B729" s="5"/>
      <c r="C729" s="5"/>
      <c r="D729" s="5"/>
    </row>
    <row r="730" spans="1:4" ht="15.75" customHeight="1" x14ac:dyDescent="0.3">
      <c r="A730" s="5"/>
      <c r="B730" s="5"/>
      <c r="C730" s="5"/>
      <c r="D730" s="5"/>
    </row>
    <row r="731" spans="1:4" ht="15.75" customHeight="1" x14ac:dyDescent="0.3">
      <c r="A731" s="5"/>
      <c r="B731" s="5"/>
      <c r="C731" s="5"/>
      <c r="D731" s="5"/>
    </row>
    <row r="732" spans="1:4" ht="15.75" customHeight="1" x14ac:dyDescent="0.3">
      <c r="A732" s="5"/>
      <c r="B732" s="5"/>
      <c r="C732" s="5"/>
      <c r="D732" s="5"/>
    </row>
    <row r="733" spans="1:4" ht="15.75" customHeight="1" x14ac:dyDescent="0.3">
      <c r="A733" s="5"/>
      <c r="B733" s="5"/>
      <c r="C733" s="5"/>
      <c r="D733" s="5"/>
    </row>
    <row r="734" spans="1:4" ht="15.75" customHeight="1" x14ac:dyDescent="0.3">
      <c r="A734" s="5"/>
      <c r="B734" s="5"/>
      <c r="C734" s="5"/>
      <c r="D734" s="5"/>
    </row>
    <row r="735" spans="1:4" ht="15.75" customHeight="1" x14ac:dyDescent="0.3">
      <c r="A735" s="5"/>
      <c r="B735" s="5"/>
      <c r="C735" s="5"/>
      <c r="D735" s="5"/>
    </row>
    <row r="736" spans="1:4" ht="15.75" customHeight="1" x14ac:dyDescent="0.3">
      <c r="A736" s="5"/>
      <c r="B736" s="5"/>
      <c r="C736" s="5"/>
      <c r="D736" s="5"/>
    </row>
    <row r="737" spans="1:4" ht="15.75" customHeight="1" x14ac:dyDescent="0.3">
      <c r="A737" s="5"/>
      <c r="B737" s="5"/>
      <c r="C737" s="5"/>
      <c r="D737" s="5"/>
    </row>
    <row r="738" spans="1:4" ht="15.75" customHeight="1" x14ac:dyDescent="0.3">
      <c r="A738" s="5"/>
      <c r="B738" s="5"/>
      <c r="C738" s="5"/>
      <c r="D738" s="5"/>
    </row>
    <row r="739" spans="1:4" ht="15.75" customHeight="1" x14ac:dyDescent="0.3">
      <c r="A739" s="5"/>
      <c r="B739" s="5"/>
      <c r="C739" s="5"/>
      <c r="D739" s="5"/>
    </row>
    <row r="740" spans="1:4" ht="15.75" customHeight="1" x14ac:dyDescent="0.3">
      <c r="A740" s="5"/>
      <c r="B740" s="5"/>
      <c r="C740" s="5"/>
      <c r="D740" s="5"/>
    </row>
    <row r="741" spans="1:4" ht="15.75" customHeight="1" x14ac:dyDescent="0.3">
      <c r="A741" s="5"/>
      <c r="B741" s="5"/>
      <c r="C741" s="5"/>
      <c r="D741" s="5"/>
    </row>
    <row r="742" spans="1:4" ht="15.75" customHeight="1" x14ac:dyDescent="0.3">
      <c r="A742" s="5"/>
      <c r="B742" s="5"/>
      <c r="C742" s="5"/>
      <c r="D742" s="5"/>
    </row>
    <row r="743" spans="1:4" ht="15.75" customHeight="1" x14ac:dyDescent="0.3">
      <c r="A743" s="5"/>
      <c r="B743" s="5"/>
      <c r="C743" s="5"/>
      <c r="D743" s="5"/>
    </row>
    <row r="744" spans="1:4" ht="15.75" customHeight="1" x14ac:dyDescent="0.3">
      <c r="A744" s="5"/>
      <c r="B744" s="5"/>
      <c r="C744" s="5"/>
      <c r="D744" s="5"/>
    </row>
    <row r="745" spans="1:4" ht="15.75" customHeight="1" x14ac:dyDescent="0.3">
      <c r="A745" s="5"/>
      <c r="B745" s="5"/>
      <c r="C745" s="5"/>
      <c r="D745" s="5"/>
    </row>
    <row r="746" spans="1:4" ht="15.75" customHeight="1" x14ac:dyDescent="0.3">
      <c r="A746" s="5"/>
      <c r="B746" s="5"/>
      <c r="C746" s="5"/>
      <c r="D746" s="5"/>
    </row>
    <row r="747" spans="1:4" ht="15.75" customHeight="1" x14ac:dyDescent="0.3">
      <c r="A747" s="5"/>
      <c r="B747" s="5"/>
      <c r="C747" s="5"/>
      <c r="D747" s="5"/>
    </row>
    <row r="748" spans="1:4" ht="15.75" customHeight="1" x14ac:dyDescent="0.3">
      <c r="A748" s="5"/>
      <c r="B748" s="5"/>
      <c r="C748" s="5"/>
      <c r="D748" s="5"/>
    </row>
    <row r="749" spans="1:4" ht="15.75" customHeight="1" x14ac:dyDescent="0.3">
      <c r="A749" s="5"/>
      <c r="B749" s="5"/>
      <c r="C749" s="5"/>
      <c r="D749" s="5"/>
    </row>
    <row r="750" spans="1:4" ht="15.75" customHeight="1" x14ac:dyDescent="0.3">
      <c r="A750" s="5"/>
      <c r="B750" s="5"/>
      <c r="C750" s="5"/>
      <c r="D750" s="5"/>
    </row>
    <row r="751" spans="1:4" ht="15.75" customHeight="1" x14ac:dyDescent="0.3">
      <c r="A751" s="5"/>
      <c r="B751" s="5"/>
      <c r="C751" s="5"/>
      <c r="D751" s="5"/>
    </row>
    <row r="752" spans="1:4" ht="15.75" customHeight="1" x14ac:dyDescent="0.3">
      <c r="A752" s="5"/>
      <c r="B752" s="5"/>
      <c r="C752" s="5"/>
      <c r="D752" s="5"/>
    </row>
    <row r="753" spans="1:4" ht="15.75" customHeight="1" x14ac:dyDescent="0.3">
      <c r="A753" s="5"/>
      <c r="B753" s="5"/>
      <c r="C753" s="5"/>
      <c r="D753" s="5"/>
    </row>
    <row r="754" spans="1:4" ht="15.75" customHeight="1" x14ac:dyDescent="0.3">
      <c r="A754" s="5"/>
      <c r="B754" s="5"/>
      <c r="C754" s="5"/>
      <c r="D754" s="5"/>
    </row>
    <row r="755" spans="1:4" ht="15.75" customHeight="1" x14ac:dyDescent="0.3">
      <c r="A755" s="5"/>
      <c r="B755" s="5"/>
      <c r="C755" s="5"/>
      <c r="D755" s="5"/>
    </row>
    <row r="756" spans="1:4" ht="15.75" customHeight="1" x14ac:dyDescent="0.3">
      <c r="A756" s="5"/>
      <c r="B756" s="5"/>
      <c r="C756" s="5"/>
      <c r="D756" s="5"/>
    </row>
    <row r="757" spans="1:4" ht="15.75" customHeight="1" x14ac:dyDescent="0.3">
      <c r="A757" s="5"/>
      <c r="B757" s="5"/>
      <c r="C757" s="5"/>
      <c r="D757" s="5"/>
    </row>
    <row r="758" spans="1:4" ht="15.75" customHeight="1" x14ac:dyDescent="0.3">
      <c r="A758" s="5"/>
      <c r="B758" s="5"/>
      <c r="C758" s="5"/>
      <c r="D758" s="5"/>
    </row>
    <row r="759" spans="1:4" ht="15.75" customHeight="1" x14ac:dyDescent="0.3">
      <c r="A759" s="5"/>
      <c r="B759" s="5"/>
      <c r="C759" s="5"/>
      <c r="D759" s="5"/>
    </row>
    <row r="760" spans="1:4" ht="15.75" customHeight="1" x14ac:dyDescent="0.3">
      <c r="A760" s="5"/>
      <c r="B760" s="5"/>
      <c r="C760" s="5"/>
      <c r="D760" s="5"/>
    </row>
    <row r="761" spans="1:4" ht="15.75" customHeight="1" x14ac:dyDescent="0.3">
      <c r="A761" s="5"/>
      <c r="B761" s="5"/>
      <c r="C761" s="5"/>
      <c r="D761" s="5"/>
    </row>
    <row r="762" spans="1:4" ht="15.75" customHeight="1" x14ac:dyDescent="0.3">
      <c r="A762" s="5"/>
      <c r="B762" s="5"/>
      <c r="C762" s="5"/>
      <c r="D762" s="5"/>
    </row>
    <row r="763" spans="1:4" ht="15.75" customHeight="1" x14ac:dyDescent="0.3">
      <c r="A763" s="5"/>
      <c r="B763" s="5"/>
      <c r="C763" s="5"/>
      <c r="D763" s="5"/>
    </row>
    <row r="764" spans="1:4" ht="15.75" customHeight="1" x14ac:dyDescent="0.3">
      <c r="A764" s="5"/>
      <c r="B764" s="5"/>
      <c r="C764" s="5"/>
      <c r="D764" s="5"/>
    </row>
    <row r="765" spans="1:4" ht="15.75" customHeight="1" x14ac:dyDescent="0.3">
      <c r="A765" s="5"/>
      <c r="B765" s="5"/>
      <c r="C765" s="5"/>
      <c r="D765" s="5"/>
    </row>
    <row r="766" spans="1:4" ht="15.75" customHeight="1" x14ac:dyDescent="0.3">
      <c r="A766" s="5"/>
      <c r="B766" s="5"/>
      <c r="C766" s="5"/>
      <c r="D766" s="5"/>
    </row>
    <row r="767" spans="1:4" ht="15.75" customHeight="1" x14ac:dyDescent="0.3">
      <c r="A767" s="5"/>
      <c r="B767" s="5"/>
      <c r="C767" s="5"/>
      <c r="D767" s="5"/>
    </row>
    <row r="768" spans="1:4" ht="15.75" customHeight="1" x14ac:dyDescent="0.3">
      <c r="A768" s="5"/>
      <c r="B768" s="5"/>
      <c r="C768" s="5"/>
      <c r="D768" s="5"/>
    </row>
    <row r="769" spans="1:4" ht="15.75" customHeight="1" x14ac:dyDescent="0.3">
      <c r="A769" s="5"/>
      <c r="B769" s="5"/>
      <c r="C769" s="5"/>
      <c r="D769" s="5"/>
    </row>
    <row r="770" spans="1:4" ht="15.75" customHeight="1" x14ac:dyDescent="0.3">
      <c r="A770" s="5"/>
      <c r="B770" s="5"/>
      <c r="C770" s="5"/>
      <c r="D770" s="5"/>
    </row>
    <row r="771" spans="1:4" ht="15.75" customHeight="1" x14ac:dyDescent="0.3">
      <c r="A771" s="5"/>
      <c r="B771" s="5"/>
      <c r="C771" s="5"/>
      <c r="D771" s="5"/>
    </row>
    <row r="772" spans="1:4" ht="15.75" customHeight="1" x14ac:dyDescent="0.3">
      <c r="A772" s="5"/>
      <c r="B772" s="5"/>
      <c r="C772" s="5"/>
      <c r="D772" s="5"/>
    </row>
    <row r="773" spans="1:4" ht="15.75" customHeight="1" x14ac:dyDescent="0.3">
      <c r="A773" s="5"/>
      <c r="B773" s="5"/>
      <c r="C773" s="5"/>
      <c r="D773" s="5"/>
    </row>
    <row r="774" spans="1:4" ht="15.75" customHeight="1" x14ac:dyDescent="0.3">
      <c r="A774" s="5"/>
      <c r="B774" s="5"/>
      <c r="C774" s="5"/>
      <c r="D774" s="5"/>
    </row>
    <row r="775" spans="1:4" ht="15.75" customHeight="1" x14ac:dyDescent="0.3">
      <c r="A775" s="5"/>
      <c r="B775" s="5"/>
      <c r="C775" s="5"/>
      <c r="D775" s="5"/>
    </row>
    <row r="776" spans="1:4" ht="15.75" customHeight="1" x14ac:dyDescent="0.3">
      <c r="A776" s="5"/>
      <c r="B776" s="5"/>
      <c r="C776" s="5"/>
      <c r="D776" s="5"/>
    </row>
    <row r="777" spans="1:4" ht="15.75" customHeight="1" x14ac:dyDescent="0.3">
      <c r="A777" s="5"/>
      <c r="B777" s="5"/>
      <c r="C777" s="5"/>
      <c r="D777" s="5"/>
    </row>
    <row r="778" spans="1:4" ht="15.75" customHeight="1" x14ac:dyDescent="0.3">
      <c r="A778" s="5"/>
      <c r="B778" s="5"/>
      <c r="C778" s="5"/>
      <c r="D778" s="5"/>
    </row>
    <row r="779" spans="1:4" ht="15.75" customHeight="1" x14ac:dyDescent="0.3">
      <c r="A779" s="5"/>
      <c r="B779" s="5"/>
      <c r="C779" s="5"/>
      <c r="D779" s="5"/>
    </row>
    <row r="780" spans="1:4" ht="15.75" customHeight="1" x14ac:dyDescent="0.3">
      <c r="A780" s="5"/>
      <c r="B780" s="5"/>
      <c r="C780" s="5"/>
      <c r="D780" s="5"/>
    </row>
    <row r="781" spans="1:4" ht="15.75" customHeight="1" x14ac:dyDescent="0.3">
      <c r="A781" s="5"/>
      <c r="B781" s="5"/>
      <c r="C781" s="5"/>
      <c r="D781" s="5"/>
    </row>
    <row r="782" spans="1:4" ht="15.75" customHeight="1" x14ac:dyDescent="0.3">
      <c r="A782" s="5"/>
      <c r="B782" s="5"/>
      <c r="C782" s="5"/>
      <c r="D782" s="5"/>
    </row>
    <row r="783" spans="1:4" ht="15.75" customHeight="1" x14ac:dyDescent="0.3">
      <c r="A783" s="5"/>
      <c r="B783" s="5"/>
      <c r="C783" s="5"/>
      <c r="D783" s="5"/>
    </row>
    <row r="784" spans="1:4" ht="15.75" customHeight="1" x14ac:dyDescent="0.3">
      <c r="A784" s="5"/>
      <c r="B784" s="5"/>
      <c r="C784" s="5"/>
      <c r="D784" s="5"/>
    </row>
    <row r="785" spans="1:4" ht="15.75" customHeight="1" x14ac:dyDescent="0.3">
      <c r="A785" s="5"/>
      <c r="B785" s="5"/>
      <c r="C785" s="5"/>
      <c r="D785" s="5"/>
    </row>
    <row r="786" spans="1:4" ht="15.75" customHeight="1" x14ac:dyDescent="0.3">
      <c r="A786" s="5"/>
      <c r="B786" s="5"/>
      <c r="C786" s="5"/>
      <c r="D786" s="5"/>
    </row>
    <row r="787" spans="1:4" ht="15.75" customHeight="1" x14ac:dyDescent="0.3">
      <c r="A787" s="5"/>
      <c r="B787" s="5"/>
      <c r="C787" s="5"/>
      <c r="D787" s="5"/>
    </row>
    <row r="788" spans="1:4" ht="15.75" customHeight="1" x14ac:dyDescent="0.3">
      <c r="A788" s="5"/>
      <c r="B788" s="5"/>
      <c r="C788" s="5"/>
      <c r="D788" s="5"/>
    </row>
    <row r="789" spans="1:4" ht="15.75" customHeight="1" x14ac:dyDescent="0.3">
      <c r="A789" s="5"/>
      <c r="B789" s="5"/>
      <c r="C789" s="5"/>
      <c r="D789" s="5"/>
    </row>
    <row r="790" spans="1:4" ht="15.75" customHeight="1" x14ac:dyDescent="0.3">
      <c r="A790" s="5"/>
      <c r="B790" s="5"/>
      <c r="C790" s="5"/>
      <c r="D790" s="5"/>
    </row>
    <row r="791" spans="1:4" ht="15.75" customHeight="1" x14ac:dyDescent="0.3">
      <c r="A791" s="5"/>
      <c r="B791" s="5"/>
      <c r="C791" s="5"/>
      <c r="D791" s="5"/>
    </row>
    <row r="792" spans="1:4" ht="15.75" customHeight="1" x14ac:dyDescent="0.3">
      <c r="A792" s="5"/>
      <c r="B792" s="5"/>
      <c r="C792" s="5"/>
      <c r="D792" s="5"/>
    </row>
    <row r="793" spans="1:4" ht="15.75" customHeight="1" x14ac:dyDescent="0.3">
      <c r="A793" s="5"/>
      <c r="B793" s="5"/>
      <c r="C793" s="5"/>
      <c r="D793" s="5"/>
    </row>
    <row r="794" spans="1:4" ht="15.75" customHeight="1" x14ac:dyDescent="0.3">
      <c r="A794" s="5"/>
      <c r="B794" s="5"/>
      <c r="C794" s="5"/>
      <c r="D794" s="5"/>
    </row>
    <row r="795" spans="1:4" ht="15.75" customHeight="1" x14ac:dyDescent="0.3">
      <c r="A795" s="5"/>
      <c r="B795" s="5"/>
      <c r="C795" s="5"/>
      <c r="D795" s="5"/>
    </row>
    <row r="796" spans="1:4" ht="15.75" customHeight="1" x14ac:dyDescent="0.3">
      <c r="A796" s="5"/>
      <c r="B796" s="5"/>
      <c r="C796" s="5"/>
      <c r="D796" s="5"/>
    </row>
    <row r="797" spans="1:4" ht="15.75" customHeight="1" x14ac:dyDescent="0.3">
      <c r="A797" s="5"/>
      <c r="B797" s="5"/>
      <c r="C797" s="5"/>
      <c r="D797" s="5"/>
    </row>
    <row r="798" spans="1:4" ht="15.75" customHeight="1" x14ac:dyDescent="0.3">
      <c r="A798" s="5"/>
      <c r="B798" s="5"/>
      <c r="C798" s="5"/>
      <c r="D798" s="5"/>
    </row>
    <row r="799" spans="1:4" ht="15.75" customHeight="1" x14ac:dyDescent="0.3">
      <c r="A799" s="5"/>
      <c r="B799" s="5"/>
      <c r="C799" s="5"/>
      <c r="D799" s="5"/>
    </row>
    <row r="800" spans="1:4" ht="15.75" customHeight="1" x14ac:dyDescent="0.3">
      <c r="A800" s="5"/>
      <c r="B800" s="5"/>
      <c r="C800" s="5"/>
      <c r="D800" s="5"/>
    </row>
    <row r="801" spans="1:4" ht="15.75" customHeight="1" x14ac:dyDescent="0.3">
      <c r="A801" s="5"/>
      <c r="B801" s="5"/>
      <c r="C801" s="5"/>
      <c r="D801" s="5"/>
    </row>
    <row r="802" spans="1:4" ht="15.75" customHeight="1" x14ac:dyDescent="0.3">
      <c r="A802" s="5"/>
      <c r="B802" s="5"/>
      <c r="C802" s="5"/>
      <c r="D802" s="5"/>
    </row>
    <row r="803" spans="1:4" ht="15.75" customHeight="1" x14ac:dyDescent="0.3">
      <c r="A803" s="5"/>
      <c r="B803" s="5"/>
      <c r="C803" s="5"/>
      <c r="D803" s="5"/>
    </row>
    <row r="804" spans="1:4" ht="15.75" customHeight="1" x14ac:dyDescent="0.3">
      <c r="A804" s="5"/>
      <c r="B804" s="5"/>
      <c r="C804" s="5"/>
      <c r="D804" s="5"/>
    </row>
    <row r="805" spans="1:4" ht="15.75" customHeight="1" x14ac:dyDescent="0.3">
      <c r="A805" s="5"/>
      <c r="B805" s="5"/>
      <c r="C805" s="5"/>
      <c r="D805" s="5"/>
    </row>
    <row r="806" spans="1:4" ht="15.75" customHeight="1" x14ac:dyDescent="0.3">
      <c r="A806" s="5"/>
      <c r="B806" s="5"/>
      <c r="C806" s="5"/>
      <c r="D806" s="5"/>
    </row>
    <row r="807" spans="1:4" ht="15.75" customHeight="1" x14ac:dyDescent="0.3">
      <c r="A807" s="5"/>
      <c r="B807" s="5"/>
      <c r="C807" s="5"/>
      <c r="D807" s="5"/>
    </row>
    <row r="808" spans="1:4" ht="15.75" customHeight="1" x14ac:dyDescent="0.3">
      <c r="A808" s="5"/>
      <c r="B808" s="5"/>
      <c r="C808" s="5"/>
      <c r="D808" s="5"/>
    </row>
    <row r="809" spans="1:4" ht="15.75" customHeight="1" x14ac:dyDescent="0.3">
      <c r="A809" s="5"/>
      <c r="B809" s="5"/>
      <c r="C809" s="5"/>
      <c r="D809" s="5"/>
    </row>
    <row r="810" spans="1:4" ht="15.75" customHeight="1" x14ac:dyDescent="0.3">
      <c r="A810" s="5"/>
      <c r="B810" s="5"/>
      <c r="C810" s="5"/>
      <c r="D810" s="5"/>
    </row>
    <row r="811" spans="1:4" ht="15.75" customHeight="1" x14ac:dyDescent="0.3">
      <c r="A811" s="5"/>
      <c r="B811" s="5"/>
      <c r="C811" s="5"/>
      <c r="D811" s="5"/>
    </row>
    <row r="812" spans="1:4" ht="15.75" customHeight="1" x14ac:dyDescent="0.3">
      <c r="A812" s="5"/>
      <c r="B812" s="5"/>
      <c r="C812" s="5"/>
      <c r="D812" s="5"/>
    </row>
    <row r="813" spans="1:4" ht="15.75" customHeight="1" x14ac:dyDescent="0.3">
      <c r="A813" s="5"/>
      <c r="B813" s="5"/>
      <c r="C813" s="5"/>
      <c r="D813" s="5"/>
    </row>
    <row r="814" spans="1:4" ht="15.75" customHeight="1" x14ac:dyDescent="0.3">
      <c r="A814" s="5"/>
      <c r="B814" s="5"/>
      <c r="C814" s="5"/>
      <c r="D814" s="5"/>
    </row>
    <row r="815" spans="1:4" ht="15.75" customHeight="1" x14ac:dyDescent="0.3">
      <c r="A815" s="5"/>
      <c r="B815" s="5"/>
      <c r="C815" s="5"/>
      <c r="D815" s="5"/>
    </row>
    <row r="816" spans="1:4" ht="15.75" customHeight="1" x14ac:dyDescent="0.3">
      <c r="A816" s="5"/>
      <c r="B816" s="5"/>
      <c r="C816" s="5"/>
      <c r="D816" s="5"/>
    </row>
    <row r="817" spans="1:4" ht="15.75" customHeight="1" x14ac:dyDescent="0.3">
      <c r="A817" s="5"/>
      <c r="B817" s="5"/>
      <c r="C817" s="5"/>
      <c r="D817" s="5"/>
    </row>
    <row r="818" spans="1:4" ht="15.75" customHeight="1" x14ac:dyDescent="0.3">
      <c r="A818" s="5"/>
      <c r="B818" s="5"/>
      <c r="C818" s="5"/>
      <c r="D818" s="5"/>
    </row>
    <row r="819" spans="1:4" ht="15.75" customHeight="1" x14ac:dyDescent="0.3">
      <c r="A819" s="5"/>
      <c r="B819" s="5"/>
      <c r="C819" s="5"/>
      <c r="D819" s="5"/>
    </row>
    <row r="820" spans="1:4" ht="15.75" customHeight="1" x14ac:dyDescent="0.3">
      <c r="A820" s="5"/>
      <c r="B820" s="5"/>
      <c r="C820" s="5"/>
      <c r="D820" s="5"/>
    </row>
    <row r="821" spans="1:4" ht="15.75" customHeight="1" x14ac:dyDescent="0.3">
      <c r="A821" s="5"/>
      <c r="B821" s="5"/>
      <c r="C821" s="5"/>
      <c r="D821" s="5"/>
    </row>
    <row r="822" spans="1:4" ht="15.75" customHeight="1" x14ac:dyDescent="0.3">
      <c r="A822" s="5"/>
      <c r="B822" s="5"/>
      <c r="C822" s="5"/>
      <c r="D822" s="5"/>
    </row>
    <row r="823" spans="1:4" ht="15.75" customHeight="1" x14ac:dyDescent="0.3">
      <c r="A823" s="5"/>
      <c r="B823" s="5"/>
      <c r="C823" s="5"/>
      <c r="D823" s="5"/>
    </row>
    <row r="824" spans="1:4" ht="15.75" customHeight="1" x14ac:dyDescent="0.3">
      <c r="A824" s="5"/>
      <c r="B824" s="5"/>
      <c r="C824" s="5"/>
      <c r="D824" s="5"/>
    </row>
    <row r="825" spans="1:4" ht="15.75" customHeight="1" x14ac:dyDescent="0.3">
      <c r="A825" s="5"/>
      <c r="B825" s="5"/>
      <c r="C825" s="5"/>
      <c r="D825" s="5"/>
    </row>
    <row r="826" spans="1:4" ht="15.75" customHeight="1" x14ac:dyDescent="0.3">
      <c r="A826" s="5"/>
      <c r="B826" s="5"/>
      <c r="C826" s="5"/>
      <c r="D826" s="5"/>
    </row>
    <row r="827" spans="1:4" ht="15.75" customHeight="1" x14ac:dyDescent="0.3">
      <c r="A827" s="5"/>
      <c r="B827" s="5"/>
      <c r="C827" s="5"/>
      <c r="D827" s="5"/>
    </row>
    <row r="828" spans="1:4" ht="15.75" customHeight="1" x14ac:dyDescent="0.3">
      <c r="A828" s="5"/>
      <c r="B828" s="5"/>
      <c r="C828" s="5"/>
      <c r="D828" s="5"/>
    </row>
    <row r="829" spans="1:4" ht="15.75" customHeight="1" x14ac:dyDescent="0.3">
      <c r="A829" s="5"/>
      <c r="B829" s="5"/>
      <c r="C829" s="5"/>
      <c r="D829" s="5"/>
    </row>
    <row r="830" spans="1:4" ht="15.75" customHeight="1" x14ac:dyDescent="0.3">
      <c r="A830" s="5"/>
      <c r="B830" s="5"/>
      <c r="C830" s="5"/>
      <c r="D830" s="5"/>
    </row>
    <row r="831" spans="1:4" ht="15.75" customHeight="1" x14ac:dyDescent="0.3">
      <c r="A831" s="5"/>
      <c r="B831" s="5"/>
      <c r="C831" s="5"/>
      <c r="D831" s="5"/>
    </row>
    <row r="832" spans="1:4" ht="15.75" customHeight="1" x14ac:dyDescent="0.3">
      <c r="A832" s="5"/>
      <c r="B832" s="5"/>
      <c r="C832" s="5"/>
      <c r="D832" s="5"/>
    </row>
    <row r="833" spans="1:4" ht="15.75" customHeight="1" x14ac:dyDescent="0.3">
      <c r="A833" s="5"/>
      <c r="B833" s="5"/>
      <c r="C833" s="5"/>
      <c r="D833" s="5"/>
    </row>
    <row r="834" spans="1:4" ht="15.75" customHeight="1" x14ac:dyDescent="0.3">
      <c r="A834" s="5"/>
      <c r="B834" s="5"/>
      <c r="C834" s="5"/>
      <c r="D834" s="5"/>
    </row>
    <row r="835" spans="1:4" ht="15.75" customHeight="1" x14ac:dyDescent="0.3">
      <c r="A835" s="5"/>
      <c r="B835" s="5"/>
      <c r="C835" s="5"/>
      <c r="D835" s="5"/>
    </row>
    <row r="836" spans="1:4" ht="15.75" customHeight="1" x14ac:dyDescent="0.3">
      <c r="A836" s="5"/>
      <c r="B836" s="5"/>
      <c r="C836" s="5"/>
      <c r="D836" s="5"/>
    </row>
    <row r="837" spans="1:4" ht="15.75" customHeight="1" x14ac:dyDescent="0.3">
      <c r="A837" s="5"/>
      <c r="B837" s="5"/>
      <c r="C837" s="5"/>
      <c r="D837" s="5"/>
    </row>
    <row r="838" spans="1:4" ht="15.75" customHeight="1" x14ac:dyDescent="0.3">
      <c r="A838" s="5"/>
      <c r="B838" s="5"/>
      <c r="C838" s="5"/>
      <c r="D838" s="5"/>
    </row>
    <row r="839" spans="1:4" ht="15.75" customHeight="1" x14ac:dyDescent="0.3">
      <c r="A839" s="5"/>
      <c r="B839" s="5"/>
      <c r="C839" s="5"/>
      <c r="D839" s="5"/>
    </row>
    <row r="840" spans="1:4" ht="15.75" customHeight="1" x14ac:dyDescent="0.3">
      <c r="A840" s="5"/>
      <c r="B840" s="5"/>
      <c r="C840" s="5"/>
      <c r="D840" s="5"/>
    </row>
    <row r="841" spans="1:4" ht="15.75" customHeight="1" x14ac:dyDescent="0.3">
      <c r="A841" s="5"/>
      <c r="B841" s="5"/>
      <c r="C841" s="5"/>
      <c r="D841" s="5"/>
    </row>
    <row r="842" spans="1:4" ht="15.75" customHeight="1" x14ac:dyDescent="0.3">
      <c r="A842" s="5"/>
      <c r="B842" s="5"/>
      <c r="C842" s="5"/>
      <c r="D842" s="5"/>
    </row>
    <row r="843" spans="1:4" ht="15.75" customHeight="1" x14ac:dyDescent="0.3">
      <c r="A843" s="5"/>
      <c r="B843" s="5"/>
      <c r="C843" s="5"/>
      <c r="D843" s="5"/>
    </row>
    <row r="844" spans="1:4" ht="15.75" customHeight="1" x14ac:dyDescent="0.3">
      <c r="A844" s="5"/>
      <c r="B844" s="5"/>
      <c r="C844" s="5"/>
      <c r="D844" s="5"/>
    </row>
    <row r="845" spans="1:4" ht="15.75" customHeight="1" x14ac:dyDescent="0.3">
      <c r="A845" s="5"/>
      <c r="B845" s="5"/>
      <c r="C845" s="5"/>
      <c r="D845" s="5"/>
    </row>
    <row r="846" spans="1:4" ht="15.75" customHeight="1" x14ac:dyDescent="0.3">
      <c r="A846" s="5"/>
      <c r="B846" s="5"/>
      <c r="C846" s="5"/>
      <c r="D846" s="5"/>
    </row>
    <row r="847" spans="1:4" ht="15.75" customHeight="1" x14ac:dyDescent="0.3">
      <c r="A847" s="5"/>
      <c r="B847" s="5"/>
      <c r="C847" s="5"/>
      <c r="D847" s="5"/>
    </row>
    <row r="848" spans="1:4" ht="15.75" customHeight="1" x14ac:dyDescent="0.3">
      <c r="A848" s="5"/>
      <c r="B848" s="5"/>
      <c r="C848" s="5"/>
      <c r="D848" s="5"/>
    </row>
    <row r="849" spans="1:4" ht="15.75" customHeight="1" x14ac:dyDescent="0.3">
      <c r="A849" s="5"/>
      <c r="B849" s="5"/>
      <c r="C849" s="5"/>
      <c r="D849" s="5"/>
    </row>
    <row r="850" spans="1:4" ht="15.75" customHeight="1" x14ac:dyDescent="0.3">
      <c r="A850" s="5"/>
      <c r="B850" s="5"/>
      <c r="C850" s="5"/>
      <c r="D850" s="5"/>
    </row>
    <row r="851" spans="1:4" ht="15.75" customHeight="1" x14ac:dyDescent="0.3">
      <c r="A851" s="5"/>
      <c r="B851" s="5"/>
      <c r="C851" s="5"/>
      <c r="D851" s="5"/>
    </row>
    <row r="852" spans="1:4" ht="15.75" customHeight="1" x14ac:dyDescent="0.3">
      <c r="A852" s="5"/>
      <c r="B852" s="5"/>
      <c r="C852" s="5"/>
      <c r="D852" s="5"/>
    </row>
    <row r="853" spans="1:4" ht="15.75" customHeight="1" x14ac:dyDescent="0.3">
      <c r="A853" s="5"/>
      <c r="B853" s="5"/>
      <c r="C853" s="5"/>
      <c r="D853" s="5"/>
    </row>
    <row r="854" spans="1:4" ht="15.75" customHeight="1" x14ac:dyDescent="0.3">
      <c r="A854" s="5"/>
      <c r="B854" s="5"/>
      <c r="C854" s="5"/>
      <c r="D854" s="5"/>
    </row>
    <row r="855" spans="1:4" ht="15.75" customHeight="1" x14ac:dyDescent="0.3">
      <c r="A855" s="5"/>
      <c r="B855" s="5"/>
      <c r="C855" s="5"/>
      <c r="D855" s="5"/>
    </row>
    <row r="856" spans="1:4" ht="15.75" customHeight="1" x14ac:dyDescent="0.3">
      <c r="A856" s="5"/>
      <c r="B856" s="5"/>
      <c r="C856" s="5"/>
      <c r="D856" s="5"/>
    </row>
    <row r="857" spans="1:4" ht="15.75" customHeight="1" x14ac:dyDescent="0.3">
      <c r="A857" s="5"/>
      <c r="B857" s="5"/>
      <c r="C857" s="5"/>
      <c r="D857" s="5"/>
    </row>
    <row r="858" spans="1:4" ht="15.75" customHeight="1" x14ac:dyDescent="0.3">
      <c r="A858" s="5"/>
      <c r="B858" s="5"/>
      <c r="C858" s="5"/>
      <c r="D858" s="5"/>
    </row>
    <row r="859" spans="1:4" ht="15.75" customHeight="1" x14ac:dyDescent="0.3">
      <c r="A859" s="5"/>
      <c r="B859" s="5"/>
      <c r="C859" s="5"/>
      <c r="D859" s="5"/>
    </row>
    <row r="860" spans="1:4" ht="15.75" customHeight="1" x14ac:dyDescent="0.3">
      <c r="A860" s="5"/>
      <c r="B860" s="5"/>
      <c r="C860" s="5"/>
      <c r="D860" s="5"/>
    </row>
    <row r="861" spans="1:4" ht="15.75" customHeight="1" x14ac:dyDescent="0.3">
      <c r="A861" s="5"/>
      <c r="B861" s="5"/>
      <c r="C861" s="5"/>
      <c r="D861" s="5"/>
    </row>
    <row r="862" spans="1:4" ht="15.75" customHeight="1" x14ac:dyDescent="0.3">
      <c r="A862" s="5"/>
      <c r="B862" s="5"/>
      <c r="C862" s="5"/>
      <c r="D862" s="5"/>
    </row>
    <row r="863" spans="1:4" ht="15.75" customHeight="1" x14ac:dyDescent="0.3">
      <c r="A863" s="5"/>
      <c r="B863" s="5"/>
      <c r="C863" s="5"/>
      <c r="D863" s="5"/>
    </row>
    <row r="864" spans="1:4" ht="15.75" customHeight="1" x14ac:dyDescent="0.3">
      <c r="A864" s="5"/>
      <c r="B864" s="5"/>
      <c r="C864" s="5"/>
      <c r="D864" s="5"/>
    </row>
    <row r="865" spans="1:4" ht="15.75" customHeight="1" x14ac:dyDescent="0.3">
      <c r="A865" s="5"/>
      <c r="B865" s="5"/>
      <c r="C865" s="5"/>
      <c r="D865" s="5"/>
    </row>
    <row r="866" spans="1:4" ht="15.75" customHeight="1" x14ac:dyDescent="0.3">
      <c r="A866" s="5"/>
      <c r="B866" s="5"/>
      <c r="C866" s="5"/>
      <c r="D866" s="5"/>
    </row>
    <row r="867" spans="1:4" ht="15.75" customHeight="1" x14ac:dyDescent="0.3">
      <c r="A867" s="5"/>
      <c r="B867" s="5"/>
      <c r="C867" s="5"/>
      <c r="D867" s="5"/>
    </row>
    <row r="868" spans="1:4" ht="15.75" customHeight="1" x14ac:dyDescent="0.3">
      <c r="A868" s="5"/>
      <c r="B868" s="5"/>
      <c r="C868" s="5"/>
      <c r="D868" s="5"/>
    </row>
    <row r="869" spans="1:4" ht="15.75" customHeight="1" x14ac:dyDescent="0.3">
      <c r="A869" s="5"/>
      <c r="B869" s="5"/>
      <c r="C869" s="5"/>
      <c r="D869" s="5"/>
    </row>
    <row r="870" spans="1:4" ht="15.75" customHeight="1" x14ac:dyDescent="0.3">
      <c r="A870" s="5"/>
      <c r="B870" s="5"/>
      <c r="C870" s="5"/>
      <c r="D870" s="5"/>
    </row>
    <row r="871" spans="1:4" ht="15.75" customHeight="1" x14ac:dyDescent="0.3">
      <c r="A871" s="5"/>
      <c r="B871" s="5"/>
      <c r="C871" s="5"/>
      <c r="D871" s="5"/>
    </row>
    <row r="872" spans="1:4" ht="15.75" customHeight="1" x14ac:dyDescent="0.3">
      <c r="A872" s="5"/>
      <c r="B872" s="5"/>
      <c r="C872" s="5"/>
      <c r="D872" s="5"/>
    </row>
    <row r="873" spans="1:4" ht="15.75" customHeight="1" x14ac:dyDescent="0.3">
      <c r="A873" s="5"/>
      <c r="B873" s="5"/>
      <c r="C873" s="5"/>
      <c r="D873" s="5"/>
    </row>
    <row r="874" spans="1:4" ht="15.75" customHeight="1" x14ac:dyDescent="0.3">
      <c r="A874" s="5"/>
      <c r="B874" s="5"/>
      <c r="C874" s="5"/>
      <c r="D874" s="5"/>
    </row>
    <row r="875" spans="1:4" ht="15.75" customHeight="1" x14ac:dyDescent="0.3">
      <c r="A875" s="5"/>
      <c r="B875" s="5"/>
      <c r="C875" s="5"/>
      <c r="D875" s="5"/>
    </row>
    <row r="876" spans="1:4" ht="15.75" customHeight="1" x14ac:dyDescent="0.3">
      <c r="A876" s="5"/>
      <c r="B876" s="5"/>
      <c r="C876" s="5"/>
      <c r="D876" s="5"/>
    </row>
    <row r="877" spans="1:4" ht="15.75" customHeight="1" x14ac:dyDescent="0.3">
      <c r="A877" s="5"/>
      <c r="B877" s="5"/>
      <c r="C877" s="5"/>
      <c r="D877" s="5"/>
    </row>
    <row r="878" spans="1:4" ht="15.75" customHeight="1" x14ac:dyDescent="0.3">
      <c r="A878" s="5"/>
      <c r="B878" s="5"/>
      <c r="C878" s="5"/>
      <c r="D878" s="5"/>
    </row>
    <row r="879" spans="1:4" ht="15.75" customHeight="1" x14ac:dyDescent="0.3">
      <c r="A879" s="5"/>
      <c r="B879" s="5"/>
      <c r="C879" s="5"/>
      <c r="D879" s="5"/>
    </row>
    <row r="880" spans="1:4" ht="15.75" customHeight="1" x14ac:dyDescent="0.3">
      <c r="A880" s="5"/>
      <c r="B880" s="5"/>
      <c r="C880" s="5"/>
      <c r="D880" s="5"/>
    </row>
    <row r="881" spans="1:4" ht="15.75" customHeight="1" x14ac:dyDescent="0.3">
      <c r="A881" s="5"/>
      <c r="B881" s="5"/>
      <c r="C881" s="5"/>
      <c r="D881" s="5"/>
    </row>
    <row r="882" spans="1:4" ht="15.75" customHeight="1" x14ac:dyDescent="0.3">
      <c r="A882" s="5"/>
      <c r="B882" s="5"/>
      <c r="C882" s="5"/>
      <c r="D882" s="5"/>
    </row>
    <row r="883" spans="1:4" ht="15.75" customHeight="1" x14ac:dyDescent="0.3">
      <c r="A883" s="5"/>
      <c r="B883" s="5"/>
      <c r="C883" s="5"/>
      <c r="D883" s="5"/>
    </row>
    <row r="884" spans="1:4" ht="15.75" customHeight="1" x14ac:dyDescent="0.3">
      <c r="A884" s="5"/>
      <c r="B884" s="5"/>
      <c r="C884" s="5"/>
      <c r="D884" s="5"/>
    </row>
    <row r="885" spans="1:4" ht="15.75" customHeight="1" x14ac:dyDescent="0.3">
      <c r="A885" s="5"/>
      <c r="B885" s="5"/>
      <c r="C885" s="5"/>
      <c r="D885" s="5"/>
    </row>
    <row r="886" spans="1:4" ht="15.75" customHeight="1" x14ac:dyDescent="0.3">
      <c r="A886" s="5"/>
      <c r="B886" s="5"/>
      <c r="C886" s="5"/>
      <c r="D886" s="5"/>
    </row>
    <row r="887" spans="1:4" ht="15.75" customHeight="1" x14ac:dyDescent="0.3">
      <c r="A887" s="5"/>
      <c r="B887" s="5"/>
      <c r="C887" s="5"/>
      <c r="D887" s="5"/>
    </row>
    <row r="888" spans="1:4" ht="15.75" customHeight="1" x14ac:dyDescent="0.3">
      <c r="A888" s="5"/>
      <c r="B888" s="5"/>
      <c r="C888" s="5"/>
      <c r="D888" s="5"/>
    </row>
    <row r="889" spans="1:4" ht="15.75" customHeight="1" x14ac:dyDescent="0.3">
      <c r="A889" s="5"/>
      <c r="B889" s="5"/>
      <c r="C889" s="5"/>
      <c r="D889" s="5"/>
    </row>
    <row r="890" spans="1:4" ht="15.75" customHeight="1" x14ac:dyDescent="0.3">
      <c r="A890" s="5"/>
      <c r="B890" s="5"/>
      <c r="C890" s="5"/>
      <c r="D890" s="5"/>
    </row>
    <row r="891" spans="1:4" ht="15.75" customHeight="1" x14ac:dyDescent="0.3">
      <c r="A891" s="5"/>
      <c r="B891" s="5"/>
      <c r="C891" s="5"/>
      <c r="D891" s="5"/>
    </row>
    <row r="892" spans="1:4" ht="15.75" customHeight="1" x14ac:dyDescent="0.3">
      <c r="A892" s="5"/>
      <c r="B892" s="5"/>
      <c r="C892" s="5"/>
      <c r="D892" s="5"/>
    </row>
    <row r="893" spans="1:4" ht="15.75" customHeight="1" x14ac:dyDescent="0.3">
      <c r="A893" s="5"/>
      <c r="B893" s="5"/>
      <c r="C893" s="5"/>
      <c r="D893" s="5"/>
    </row>
    <row r="894" spans="1:4" ht="15.75" customHeight="1" x14ac:dyDescent="0.3">
      <c r="A894" s="5"/>
      <c r="B894" s="5"/>
      <c r="C894" s="5"/>
      <c r="D894" s="5"/>
    </row>
    <row r="895" spans="1:4" ht="15.75" customHeight="1" x14ac:dyDescent="0.3">
      <c r="A895" s="5"/>
      <c r="B895" s="5"/>
      <c r="C895" s="5"/>
      <c r="D895" s="5"/>
    </row>
    <row r="896" spans="1:4" ht="15.75" customHeight="1" x14ac:dyDescent="0.3">
      <c r="A896" s="5"/>
      <c r="B896" s="5"/>
      <c r="C896" s="5"/>
      <c r="D896" s="5"/>
    </row>
    <row r="897" spans="1:4" ht="15.75" customHeight="1" x14ac:dyDescent="0.3">
      <c r="A897" s="5"/>
      <c r="B897" s="5"/>
      <c r="C897" s="5"/>
      <c r="D897" s="5"/>
    </row>
    <row r="898" spans="1:4" ht="15.75" customHeight="1" x14ac:dyDescent="0.3">
      <c r="A898" s="5"/>
      <c r="B898" s="5"/>
      <c r="C898" s="5"/>
      <c r="D898" s="5"/>
    </row>
    <row r="899" spans="1:4" ht="15.75" customHeight="1" x14ac:dyDescent="0.3">
      <c r="A899" s="5"/>
      <c r="B899" s="5"/>
      <c r="C899" s="5"/>
      <c r="D899" s="5"/>
    </row>
    <row r="900" spans="1:4" ht="15.75" customHeight="1" x14ac:dyDescent="0.3">
      <c r="A900" s="5"/>
      <c r="B900" s="5"/>
      <c r="C900" s="5"/>
      <c r="D900" s="5"/>
    </row>
    <row r="901" spans="1:4" ht="15.75" customHeight="1" x14ac:dyDescent="0.3">
      <c r="A901" s="5"/>
      <c r="B901" s="5"/>
      <c r="C901" s="5"/>
      <c r="D901" s="5"/>
    </row>
    <row r="902" spans="1:4" ht="15.75" customHeight="1" x14ac:dyDescent="0.3">
      <c r="A902" s="5"/>
      <c r="B902" s="5"/>
      <c r="C902" s="5"/>
      <c r="D902" s="5"/>
    </row>
    <row r="903" spans="1:4" ht="15.75" customHeight="1" x14ac:dyDescent="0.3">
      <c r="A903" s="5"/>
      <c r="B903" s="5"/>
      <c r="C903" s="5"/>
      <c r="D903" s="5"/>
    </row>
    <row r="904" spans="1:4" ht="15.75" customHeight="1" x14ac:dyDescent="0.3">
      <c r="A904" s="5"/>
      <c r="B904" s="5"/>
      <c r="C904" s="5"/>
      <c r="D904" s="5"/>
    </row>
    <row r="905" spans="1:4" ht="15.75" customHeight="1" x14ac:dyDescent="0.3">
      <c r="A905" s="5"/>
      <c r="B905" s="5"/>
      <c r="C905" s="5"/>
      <c r="D905" s="5"/>
    </row>
    <row r="906" spans="1:4" ht="15.75" customHeight="1" x14ac:dyDescent="0.3">
      <c r="A906" s="5"/>
      <c r="B906" s="5"/>
      <c r="C906" s="5"/>
      <c r="D906" s="5"/>
    </row>
    <row r="907" spans="1:4" ht="15.75" customHeight="1" x14ac:dyDescent="0.3">
      <c r="A907" s="5"/>
      <c r="B907" s="5"/>
      <c r="C907" s="5"/>
      <c r="D907" s="5"/>
    </row>
    <row r="908" spans="1:4" ht="15.75" customHeight="1" x14ac:dyDescent="0.3">
      <c r="A908" s="5"/>
      <c r="B908" s="5"/>
      <c r="C908" s="5"/>
      <c r="D908" s="5"/>
    </row>
    <row r="909" spans="1:4" ht="15.75" customHeight="1" x14ac:dyDescent="0.3">
      <c r="A909" s="5"/>
      <c r="B909" s="5"/>
      <c r="C909" s="5"/>
      <c r="D909" s="5"/>
    </row>
    <row r="910" spans="1:4" ht="15.75" customHeight="1" x14ac:dyDescent="0.3">
      <c r="A910" s="5"/>
      <c r="B910" s="5"/>
      <c r="C910" s="5"/>
      <c r="D910" s="5"/>
    </row>
    <row r="911" spans="1:4" ht="15.75" customHeight="1" x14ac:dyDescent="0.3">
      <c r="A911" s="5"/>
      <c r="B911" s="5"/>
      <c r="C911" s="5"/>
      <c r="D911" s="5"/>
    </row>
    <row r="912" spans="1:4" ht="15.75" customHeight="1" x14ac:dyDescent="0.3">
      <c r="A912" s="5"/>
      <c r="B912" s="5"/>
      <c r="C912" s="5"/>
      <c r="D912" s="5"/>
    </row>
    <row r="913" spans="1:4" ht="15.75" customHeight="1" x14ac:dyDescent="0.3">
      <c r="A913" s="5"/>
      <c r="B913" s="5"/>
      <c r="C913" s="5"/>
      <c r="D913" s="5"/>
    </row>
    <row r="914" spans="1:4" ht="15.75" customHeight="1" x14ac:dyDescent="0.3">
      <c r="A914" s="5"/>
      <c r="B914" s="5"/>
      <c r="C914" s="5"/>
      <c r="D914" s="5"/>
    </row>
    <row r="915" spans="1:4" ht="15.75" customHeight="1" x14ac:dyDescent="0.3">
      <c r="A915" s="5"/>
      <c r="B915" s="5"/>
      <c r="C915" s="5"/>
      <c r="D915" s="5"/>
    </row>
    <row r="916" spans="1:4" ht="15.75" customHeight="1" x14ac:dyDescent="0.3">
      <c r="A916" s="5"/>
      <c r="B916" s="5"/>
      <c r="C916" s="5"/>
      <c r="D916" s="5"/>
    </row>
    <row r="917" spans="1:4" ht="15.75" customHeight="1" x14ac:dyDescent="0.3">
      <c r="A917" s="5"/>
      <c r="B917" s="5"/>
      <c r="C917" s="5"/>
      <c r="D917" s="5"/>
    </row>
    <row r="918" spans="1:4" ht="15.75" customHeight="1" x14ac:dyDescent="0.3">
      <c r="A918" s="5"/>
      <c r="B918" s="5"/>
      <c r="C918" s="5"/>
      <c r="D918" s="5"/>
    </row>
    <row r="919" spans="1:4" ht="15.75" customHeight="1" x14ac:dyDescent="0.3">
      <c r="A919" s="5"/>
      <c r="B919" s="5"/>
      <c r="C919" s="5"/>
      <c r="D919" s="5"/>
    </row>
    <row r="920" spans="1:4" ht="15.75" customHeight="1" x14ac:dyDescent="0.3">
      <c r="A920" s="5"/>
      <c r="B920" s="5"/>
      <c r="C920" s="5"/>
      <c r="D920" s="5"/>
    </row>
    <row r="921" spans="1:4" ht="15.75" customHeight="1" x14ac:dyDescent="0.3">
      <c r="A921" s="5"/>
      <c r="B921" s="5"/>
      <c r="C921" s="5"/>
      <c r="D921" s="5"/>
    </row>
    <row r="922" spans="1:4" ht="15.75" customHeight="1" x14ac:dyDescent="0.3">
      <c r="A922" s="5"/>
      <c r="B922" s="5"/>
      <c r="C922" s="5"/>
      <c r="D922" s="5"/>
    </row>
    <row r="923" spans="1:4" ht="15.75" customHeight="1" x14ac:dyDescent="0.3">
      <c r="A923" s="5"/>
      <c r="B923" s="5"/>
      <c r="C923" s="5"/>
      <c r="D923" s="5"/>
    </row>
    <row r="924" spans="1:4" ht="15.75" customHeight="1" x14ac:dyDescent="0.3">
      <c r="A924" s="5"/>
      <c r="B924" s="5"/>
      <c r="C924" s="5"/>
      <c r="D924" s="5"/>
    </row>
    <row r="925" spans="1:4" ht="15.75" customHeight="1" x14ac:dyDescent="0.3">
      <c r="A925" s="5"/>
      <c r="B925" s="5"/>
      <c r="C925" s="5"/>
      <c r="D925" s="5"/>
    </row>
    <row r="926" spans="1:4" ht="15.75" customHeight="1" x14ac:dyDescent="0.3">
      <c r="A926" s="5"/>
      <c r="B926" s="5"/>
      <c r="C926" s="5"/>
      <c r="D926" s="5"/>
    </row>
    <row r="927" spans="1:4" ht="15.75" customHeight="1" x14ac:dyDescent="0.3">
      <c r="A927" s="5"/>
      <c r="B927" s="5"/>
      <c r="C927" s="5"/>
      <c r="D927" s="5"/>
    </row>
    <row r="928" spans="1:4" ht="15.75" customHeight="1" x14ac:dyDescent="0.3">
      <c r="A928" s="5"/>
      <c r="B928" s="5"/>
      <c r="C928" s="5"/>
      <c r="D928" s="5"/>
    </row>
    <row r="929" spans="1:4" ht="15.75" customHeight="1" x14ac:dyDescent="0.3">
      <c r="A929" s="5"/>
      <c r="B929" s="5"/>
      <c r="C929" s="5"/>
      <c r="D929" s="5"/>
    </row>
    <row r="930" spans="1:4" ht="15.75" customHeight="1" x14ac:dyDescent="0.3">
      <c r="A930" s="5"/>
      <c r="B930" s="5"/>
      <c r="C930" s="5"/>
      <c r="D930" s="5"/>
    </row>
    <row r="931" spans="1:4" ht="15.75" customHeight="1" x14ac:dyDescent="0.3">
      <c r="A931" s="5"/>
      <c r="B931" s="5"/>
      <c r="C931" s="5"/>
      <c r="D931" s="5"/>
    </row>
    <row r="932" spans="1:4" ht="15.75" customHeight="1" x14ac:dyDescent="0.3">
      <c r="A932" s="5"/>
      <c r="B932" s="5"/>
      <c r="C932" s="5"/>
      <c r="D932" s="5"/>
    </row>
    <row r="933" spans="1:4" ht="15.75" customHeight="1" x14ac:dyDescent="0.3">
      <c r="A933" s="5"/>
      <c r="B933" s="5"/>
      <c r="C933" s="5"/>
      <c r="D933" s="5"/>
    </row>
    <row r="934" spans="1:4" ht="15.75" customHeight="1" x14ac:dyDescent="0.3">
      <c r="A934" s="5"/>
      <c r="B934" s="5"/>
      <c r="C934" s="5"/>
      <c r="D934" s="5"/>
    </row>
    <row r="935" spans="1:4" ht="15.75" customHeight="1" x14ac:dyDescent="0.3">
      <c r="A935" s="5"/>
      <c r="B935" s="5"/>
      <c r="C935" s="5"/>
      <c r="D935" s="5"/>
    </row>
    <row r="936" spans="1:4" ht="15.75" customHeight="1" x14ac:dyDescent="0.3">
      <c r="A936" s="5"/>
      <c r="B936" s="5"/>
      <c r="C936" s="5"/>
      <c r="D936" s="5"/>
    </row>
    <row r="937" spans="1:4" ht="15.75" customHeight="1" x14ac:dyDescent="0.3">
      <c r="A937" s="5"/>
      <c r="B937" s="5"/>
      <c r="C937" s="5"/>
      <c r="D937" s="5"/>
    </row>
    <row r="938" spans="1:4" ht="15.75" customHeight="1" x14ac:dyDescent="0.3">
      <c r="A938" s="5"/>
      <c r="B938" s="5"/>
      <c r="C938" s="5"/>
      <c r="D938" s="5"/>
    </row>
    <row r="939" spans="1:4" ht="15.75" customHeight="1" x14ac:dyDescent="0.3">
      <c r="A939" s="5"/>
      <c r="B939" s="5"/>
      <c r="C939" s="5"/>
      <c r="D939" s="5"/>
    </row>
    <row r="940" spans="1:4" ht="15.75" customHeight="1" x14ac:dyDescent="0.3">
      <c r="A940" s="5"/>
      <c r="B940" s="5"/>
      <c r="C940" s="5"/>
      <c r="D940" s="5"/>
    </row>
    <row r="941" spans="1:4" ht="15.75" customHeight="1" x14ac:dyDescent="0.3">
      <c r="A941" s="5"/>
      <c r="B941" s="5"/>
      <c r="C941" s="5"/>
      <c r="D941" s="5"/>
    </row>
    <row r="942" spans="1:4" ht="15.75" customHeight="1" x14ac:dyDescent="0.3">
      <c r="A942" s="5"/>
      <c r="B942" s="5"/>
      <c r="C942" s="5"/>
      <c r="D942" s="5"/>
    </row>
    <row r="943" spans="1:4" ht="15.75" customHeight="1" x14ac:dyDescent="0.3">
      <c r="A943" s="5"/>
      <c r="B943" s="5"/>
      <c r="C943" s="5"/>
      <c r="D943" s="5"/>
    </row>
    <row r="944" spans="1:4" ht="15.75" customHeight="1" x14ac:dyDescent="0.3">
      <c r="A944" s="5"/>
      <c r="B944" s="5"/>
      <c r="C944" s="5"/>
      <c r="D944" s="5"/>
    </row>
    <row r="945" spans="1:4" ht="15.75" customHeight="1" x14ac:dyDescent="0.3">
      <c r="A945" s="5"/>
      <c r="B945" s="5"/>
      <c r="C945" s="5"/>
      <c r="D945" s="5"/>
    </row>
    <row r="946" spans="1:4" ht="15.75" customHeight="1" x14ac:dyDescent="0.3">
      <c r="A946" s="5"/>
      <c r="B946" s="5"/>
      <c r="C946" s="5"/>
      <c r="D946" s="5"/>
    </row>
    <row r="947" spans="1:4" ht="15.75" customHeight="1" x14ac:dyDescent="0.3">
      <c r="A947" s="5"/>
      <c r="B947" s="5"/>
      <c r="C947" s="5"/>
      <c r="D947" s="5"/>
    </row>
    <row r="948" spans="1:4" ht="15.75" customHeight="1" x14ac:dyDescent="0.3">
      <c r="A948" s="5"/>
      <c r="B948" s="5"/>
      <c r="C948" s="5"/>
      <c r="D948" s="5"/>
    </row>
    <row r="949" spans="1:4" ht="15.75" customHeight="1" x14ac:dyDescent="0.3">
      <c r="A949" s="5"/>
      <c r="B949" s="5"/>
      <c r="C949" s="5"/>
      <c r="D949" s="5"/>
    </row>
    <row r="950" spans="1:4" ht="15.75" customHeight="1" x14ac:dyDescent="0.3">
      <c r="A950" s="5"/>
      <c r="B950" s="5"/>
      <c r="C950" s="5"/>
      <c r="D950" s="5"/>
    </row>
    <row r="951" spans="1:4" ht="15.75" customHeight="1" x14ac:dyDescent="0.3">
      <c r="A951" s="5"/>
      <c r="B951" s="5"/>
      <c r="C951" s="5"/>
      <c r="D951" s="5"/>
    </row>
    <row r="952" spans="1:4" ht="15.75" customHeight="1" x14ac:dyDescent="0.3">
      <c r="A952" s="5"/>
      <c r="B952" s="5"/>
      <c r="C952" s="5"/>
      <c r="D952" s="5"/>
    </row>
    <row r="953" spans="1:4" ht="15.75" customHeight="1" x14ac:dyDescent="0.3">
      <c r="A953" s="5"/>
      <c r="B953" s="5"/>
      <c r="C953" s="5"/>
      <c r="D953" s="5"/>
    </row>
    <row r="954" spans="1:4" ht="15.75" customHeight="1" x14ac:dyDescent="0.3">
      <c r="A954" s="5"/>
      <c r="B954" s="5"/>
      <c r="C954" s="5"/>
      <c r="D954" s="5"/>
    </row>
    <row r="955" spans="1:4" ht="15.75" customHeight="1" x14ac:dyDescent="0.3">
      <c r="A955" s="5"/>
      <c r="B955" s="5"/>
      <c r="C955" s="5"/>
      <c r="D955" s="5"/>
    </row>
    <row r="956" spans="1:4" ht="15.75" customHeight="1" x14ac:dyDescent="0.3">
      <c r="A956" s="5"/>
      <c r="B956" s="5"/>
      <c r="C956" s="5"/>
      <c r="D956" s="5"/>
    </row>
    <row r="957" spans="1:4" ht="15.75" customHeight="1" x14ac:dyDescent="0.3">
      <c r="A957" s="5"/>
      <c r="B957" s="5"/>
      <c r="C957" s="5"/>
      <c r="D957" s="5"/>
    </row>
    <row r="958" spans="1:4" ht="15.75" customHeight="1" x14ac:dyDescent="0.3">
      <c r="A958" s="5"/>
      <c r="B958" s="5"/>
      <c r="C958" s="5"/>
      <c r="D958" s="5"/>
    </row>
    <row r="959" spans="1:4" ht="15.75" customHeight="1" x14ac:dyDescent="0.3">
      <c r="A959" s="5"/>
      <c r="B959" s="5"/>
      <c r="C959" s="5"/>
      <c r="D959" s="5"/>
    </row>
    <row r="960" spans="1:4" ht="15.75" customHeight="1" x14ac:dyDescent="0.3">
      <c r="A960" s="5"/>
      <c r="B960" s="5"/>
      <c r="C960" s="5"/>
      <c r="D960" s="5"/>
    </row>
    <row r="961" spans="1:4" ht="15.75" customHeight="1" x14ac:dyDescent="0.3">
      <c r="A961" s="5"/>
      <c r="B961" s="5"/>
      <c r="C961" s="5"/>
      <c r="D961" s="5"/>
    </row>
    <row r="962" spans="1:4" ht="15.75" customHeight="1" x14ac:dyDescent="0.3">
      <c r="A962" s="5"/>
      <c r="B962" s="5"/>
      <c r="C962" s="5"/>
      <c r="D962" s="5"/>
    </row>
    <row r="963" spans="1:4" ht="15.75" customHeight="1" x14ac:dyDescent="0.3">
      <c r="A963" s="5"/>
      <c r="B963" s="5"/>
      <c r="C963" s="5"/>
      <c r="D963" s="5"/>
    </row>
    <row r="964" spans="1:4" ht="15.75" customHeight="1" x14ac:dyDescent="0.3">
      <c r="A964" s="5"/>
      <c r="B964" s="5"/>
      <c r="C964" s="5"/>
      <c r="D964" s="5"/>
    </row>
    <row r="965" spans="1:4" ht="15.75" customHeight="1" x14ac:dyDescent="0.3">
      <c r="A965" s="5"/>
      <c r="B965" s="5"/>
      <c r="C965" s="5"/>
      <c r="D965" s="5"/>
    </row>
    <row r="966" spans="1:4" ht="15.75" customHeight="1" x14ac:dyDescent="0.3">
      <c r="A966" s="5"/>
      <c r="B966" s="5"/>
      <c r="C966" s="5"/>
      <c r="D966" s="5"/>
    </row>
    <row r="967" spans="1:4" ht="15.75" customHeight="1" x14ac:dyDescent="0.3">
      <c r="A967" s="5"/>
      <c r="B967" s="5"/>
      <c r="C967" s="5"/>
      <c r="D967" s="5"/>
    </row>
    <row r="968" spans="1:4" ht="15.75" customHeight="1" x14ac:dyDescent="0.3">
      <c r="A968" s="5"/>
      <c r="B968" s="5"/>
      <c r="C968" s="5"/>
      <c r="D968" s="5"/>
    </row>
    <row r="969" spans="1:4" ht="15.75" customHeight="1" x14ac:dyDescent="0.3">
      <c r="A969" s="5"/>
      <c r="B969" s="5"/>
      <c r="C969" s="5"/>
      <c r="D969" s="5"/>
    </row>
    <row r="970" spans="1:4" ht="15.75" customHeight="1" x14ac:dyDescent="0.3">
      <c r="A970" s="5"/>
      <c r="B970" s="5"/>
      <c r="C970" s="5"/>
      <c r="D970" s="5"/>
    </row>
    <row r="971" spans="1:4" ht="15.75" customHeight="1" x14ac:dyDescent="0.3">
      <c r="A971" s="5"/>
      <c r="B971" s="5"/>
      <c r="C971" s="5"/>
      <c r="D971" s="5"/>
    </row>
    <row r="972" spans="1:4" ht="15.75" customHeight="1" x14ac:dyDescent="0.3">
      <c r="A972" s="5"/>
      <c r="B972" s="5"/>
      <c r="C972" s="5"/>
      <c r="D972" s="5"/>
    </row>
    <row r="973" spans="1:4" ht="15.75" customHeight="1" x14ac:dyDescent="0.3">
      <c r="A973" s="5"/>
      <c r="B973" s="5"/>
      <c r="C973" s="5"/>
      <c r="D973" s="5"/>
    </row>
    <row r="974" spans="1:4" ht="15.75" customHeight="1" x14ac:dyDescent="0.3">
      <c r="A974" s="5"/>
      <c r="B974" s="5"/>
      <c r="C974" s="5"/>
      <c r="D974" s="5"/>
    </row>
    <row r="975" spans="1:4" ht="15.75" customHeight="1" x14ac:dyDescent="0.3">
      <c r="A975" s="5"/>
      <c r="B975" s="5"/>
      <c r="C975" s="5"/>
      <c r="D975" s="5"/>
    </row>
    <row r="976" spans="1:4" ht="15.75" customHeight="1" x14ac:dyDescent="0.3">
      <c r="A976" s="5"/>
      <c r="B976" s="5"/>
      <c r="C976" s="5"/>
      <c r="D976" s="5"/>
    </row>
    <row r="977" spans="1:4" ht="15.75" customHeight="1" x14ac:dyDescent="0.3">
      <c r="A977" s="5"/>
      <c r="B977" s="5"/>
      <c r="C977" s="5"/>
      <c r="D977" s="5"/>
    </row>
    <row r="978" spans="1:4" ht="15.75" customHeight="1" x14ac:dyDescent="0.3">
      <c r="A978" s="5"/>
      <c r="B978" s="5"/>
      <c r="C978" s="5"/>
      <c r="D978" s="5"/>
    </row>
    <row r="979" spans="1:4" ht="15.75" customHeight="1" x14ac:dyDescent="0.3">
      <c r="A979" s="5"/>
      <c r="B979" s="5"/>
      <c r="C979" s="5"/>
      <c r="D979" s="5"/>
    </row>
    <row r="980" spans="1:4" ht="15.75" customHeight="1" x14ac:dyDescent="0.3">
      <c r="A980" s="5"/>
      <c r="B980" s="5"/>
      <c r="C980" s="5"/>
      <c r="D980" s="5"/>
    </row>
    <row r="981" spans="1:4" ht="15.75" customHeight="1" x14ac:dyDescent="0.3">
      <c r="A981" s="5"/>
      <c r="B981" s="5"/>
      <c r="C981" s="5"/>
      <c r="D981" s="5"/>
    </row>
    <row r="982" spans="1:4" ht="15.75" customHeight="1" x14ac:dyDescent="0.3">
      <c r="A982" s="5"/>
      <c r="B982" s="5"/>
      <c r="C982" s="5"/>
      <c r="D982" s="5"/>
    </row>
    <row r="983" spans="1:4" ht="15.75" customHeight="1" x14ac:dyDescent="0.3">
      <c r="A983" s="5"/>
      <c r="B983" s="5"/>
      <c r="C983" s="5"/>
      <c r="D983" s="5"/>
    </row>
    <row r="984" spans="1:4" ht="15.75" customHeight="1" x14ac:dyDescent="0.3">
      <c r="A984" s="5"/>
      <c r="B984" s="5"/>
      <c r="C984" s="5"/>
      <c r="D984" s="5"/>
    </row>
    <row r="985" spans="1:4" ht="15.75" customHeight="1" x14ac:dyDescent="0.3">
      <c r="A985" s="5"/>
      <c r="B985" s="5"/>
      <c r="C985" s="5"/>
      <c r="D985" s="5"/>
    </row>
    <row r="986" spans="1:4" ht="15.75" customHeight="1" x14ac:dyDescent="0.3">
      <c r="A986" s="5"/>
      <c r="B986" s="5"/>
      <c r="C986" s="5"/>
      <c r="D986" s="5"/>
    </row>
    <row r="987" spans="1:4" ht="15.75" customHeight="1" x14ac:dyDescent="0.3">
      <c r="A987" s="5"/>
      <c r="B987" s="5"/>
      <c r="C987" s="5"/>
      <c r="D987" s="5"/>
    </row>
    <row r="988" spans="1:4" ht="15.75" customHeight="1" x14ac:dyDescent="0.3">
      <c r="A988" s="5"/>
      <c r="B988" s="5"/>
      <c r="C988" s="5"/>
      <c r="D988" s="5"/>
    </row>
    <row r="989" spans="1:4" ht="15.75" customHeight="1" x14ac:dyDescent="0.3">
      <c r="A989" s="5"/>
      <c r="B989" s="5"/>
      <c r="C989" s="5"/>
      <c r="D989" s="5"/>
    </row>
    <row r="990" spans="1:4" ht="15.75" customHeight="1" x14ac:dyDescent="0.3">
      <c r="A990" s="5"/>
      <c r="B990" s="5"/>
      <c r="C990" s="5"/>
      <c r="D990" s="5"/>
    </row>
    <row r="991" spans="1:4" ht="15.75" customHeight="1" x14ac:dyDescent="0.3">
      <c r="A991" s="5"/>
      <c r="B991" s="5"/>
      <c r="C991" s="5"/>
      <c r="D991" s="5"/>
    </row>
    <row r="992" spans="1:4" ht="15.75" customHeight="1" x14ac:dyDescent="0.3">
      <c r="A992" s="5"/>
      <c r="B992" s="5"/>
      <c r="C992" s="5"/>
      <c r="D992" s="5"/>
    </row>
    <row r="993" spans="1:4" ht="15.75" customHeight="1" x14ac:dyDescent="0.3">
      <c r="A993" s="5"/>
      <c r="B993" s="5"/>
      <c r="C993" s="5"/>
      <c r="D993" s="5"/>
    </row>
    <row r="994" spans="1:4" ht="15.75" customHeight="1" x14ac:dyDescent="0.3">
      <c r="A994" s="5"/>
      <c r="B994" s="5"/>
      <c r="C994" s="5"/>
      <c r="D994" s="5"/>
    </row>
    <row r="995" spans="1:4" ht="15.75" customHeight="1" x14ac:dyDescent="0.3">
      <c r="A995" s="5"/>
      <c r="B995" s="5"/>
      <c r="C995" s="5"/>
      <c r="D995" s="5"/>
    </row>
    <row r="996" spans="1:4" ht="15.75" customHeight="1" x14ac:dyDescent="0.3">
      <c r="A996" s="5"/>
      <c r="B996" s="5"/>
      <c r="C996" s="5"/>
      <c r="D996" s="5"/>
    </row>
    <row r="997" spans="1:4" ht="15.75" customHeight="1" x14ac:dyDescent="0.3">
      <c r="A997" s="5"/>
      <c r="B997" s="5"/>
      <c r="C997" s="5"/>
      <c r="D997" s="5"/>
    </row>
    <row r="998" spans="1:4" ht="15.75" customHeight="1" x14ac:dyDescent="0.3">
      <c r="A998" s="5"/>
      <c r="B998" s="5"/>
      <c r="C998" s="5"/>
      <c r="D998" s="5"/>
    </row>
    <row r="999" spans="1:4" ht="15.75" customHeight="1" x14ac:dyDescent="0.3">
      <c r="A999" s="5"/>
      <c r="B999" s="5"/>
      <c r="C999" s="5"/>
      <c r="D999" s="5"/>
    </row>
    <row r="1000" spans="1:4" ht="15.75" customHeight="1" x14ac:dyDescent="0.3">
      <c r="A1000" s="5"/>
      <c r="B1000" s="5"/>
      <c r="C1000" s="5"/>
      <c r="D1000" s="5"/>
    </row>
  </sheetData>
  <pageMargins left="0.75" right="0.75" top="1" bottom="1" header="0" footer="0"/>
  <pageSetup paperSize="9"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PRC_Master_Index</vt:lpstr>
      <vt:lpstr>Lists</vt:lpstr>
      <vt:lpstr>Instructions</vt:lpstr>
      <vt:lpstr>Statistics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NPI CONSTRUCTION</cp:lastModifiedBy>
  <dcterms:modified xsi:type="dcterms:W3CDTF">2026-06-26T13:19:18Z</dcterms:modified>
</cp:coreProperties>
</file>